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Funnel Analysis" sheetId="2" state="visible" r:id="rId4"/>
    <sheet name="Efficiency Analysis" sheetId="3" state="visible" r:id="rId5"/>
    <sheet name="Raw Da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<sst xmlns="http://schemas.openxmlformats.org/spreadsheetml/2006/main" count="374" uniqueCount="97">
  <si>
    <t xml:space="preserve">Marketing Campaign Performance — Executive Summary</t>
  </si>
  <si>
    <t xml:space="preserve">Week of Dec 9 - Dec 15, 2024</t>
  </si>
  <si>
    <t xml:space="preserve">Portfolio KPIs</t>
  </si>
  <si>
    <t xml:space="preserve">Total Spend</t>
  </si>
  <si>
    <t xml:space="preserve">Total Revenue</t>
  </si>
  <si>
    <t xml:space="preserve">Overall ROAS</t>
  </si>
  <si>
    <t xml:space="preserve">Total Net Profit</t>
  </si>
  <si>
    <t xml:space="preserve">Key Findings</t>
  </si>
  <si>
    <t xml:space="preserve">• Email is the standout channel: near-zero cost per acquisition and a massive ROAS, though its spend base is tiny, so its dollar impact is small relative to Google/Facebook.</t>
  </si>
  <si>
    <t xml:space="preserve">• Google_Ads is the strongest paid-media performer — ROAS well above target and CPA well under the max, despite below-benchmark CTR.</t>
  </si>
  <si>
    <t xml:space="preserve">• Facebook_Ads is solidly profitable and clears target ROAS, but with less headroom than Google_Ads or Email.</t>
  </si>
  <si>
    <t xml:space="preserve">• TikTok_Ads is underwater: below-target ROAS, above-max CPA, and negative net profit for the week — the clear candidate for a spend cut.</t>
  </si>
  <si>
    <t xml:space="preserve">Reallocation Constraints</t>
  </si>
  <si>
    <t xml:space="preserve">Max Total Reallocation Limit</t>
  </si>
  <si>
    <t xml:space="preserve">Max Per-Channel Increase</t>
  </si>
  <si>
    <t xml:space="preserve">Budget Reallocation — Classification &amp; Calculations</t>
  </si>
  <si>
    <t xml:space="preserve">Channel</t>
  </si>
  <si>
    <t xml:space="preserve">Current Spend</t>
  </si>
  <si>
    <t xml:space="preserve">Conversions</t>
  </si>
  <si>
    <t xml:space="preserve">ROAS</t>
  </si>
  <si>
    <t xml:space="preserve">% of Target ROAS</t>
  </si>
  <si>
    <t xml:space="preserve">CPA</t>
  </si>
  <si>
    <t xml:space="preserve">% of Max CPA</t>
  </si>
  <si>
    <t xml:space="preserve">Net Profit</t>
  </si>
  <si>
    <t xml:space="preserve">Classification</t>
  </si>
  <si>
    <t xml:space="preserve">Decrease $</t>
  </si>
  <si>
    <t xml:space="preserve">Proposed Increase $</t>
  </si>
  <si>
    <t xml:space="preserve">Per-Channel Cap $</t>
  </si>
  <si>
    <t xml:space="preserve">Capped Increase $</t>
  </si>
  <si>
    <t xml:space="preserve">Facebook_Ads</t>
  </si>
  <si>
    <t xml:space="preserve">Google_Ads</t>
  </si>
  <si>
    <t xml:space="preserve">TikTok_Ads</t>
  </si>
  <si>
    <t xml:space="preserve">Email</t>
  </si>
  <si>
    <t xml:space="preserve">Freed Budget (from decreases)</t>
  </si>
  <si>
    <t xml:space="preserve">Scale Factor (limit / proposed capped increases)</t>
  </si>
  <si>
    <t xml:space="preserve">Unallocated Reserve</t>
  </si>
  <si>
    <t xml:space="preserve">Final Reallocation Table</t>
  </si>
  <si>
    <t xml:space="preserve">Current Budget</t>
  </si>
  <si>
    <t xml:space="preserve">Change $</t>
  </si>
  <si>
    <t xml:space="preserve">Change %</t>
  </si>
  <si>
    <t xml:space="preserve">New Budget</t>
  </si>
  <si>
    <t xml:space="preserve">Reserve (unallocated)</t>
  </si>
  <si>
    <t xml:space="preserve">Method: Decreases (DECREASE_HEAVY -45%, DECREASE_LIGHT -25%) fund the freed budget. INCREASE channels split that budget proportionally to Net Profit, capped at the per-channel % above and at the total reallocation limit above; leftover is held as Reserve.</t>
  </si>
  <si>
    <t xml:space="preserve">Funnel Analysis</t>
  </si>
  <si>
    <t xml:space="preserve">Click-through and conversion performance by channel, vs. historical benchmarks</t>
  </si>
  <si>
    <t xml:space="preserve">Impressions</t>
  </si>
  <si>
    <t xml:space="preserve">Clicks</t>
  </si>
  <si>
    <t xml:space="preserve">CTR Actual</t>
  </si>
  <si>
    <t xml:space="preserve">CTR Benchmark</t>
  </si>
  <si>
    <t xml:space="preserve">CTR Diff (pp)</t>
  </si>
  <si>
    <t xml:space="preserve">CVR Actual</t>
  </si>
  <si>
    <t xml:space="preserve">CVR Benchmark</t>
  </si>
  <si>
    <t xml:space="preserve">CVR Diff (pp)</t>
  </si>
  <si>
    <t xml:space="preserve">Note: Email has no impression data, so CTR is N/A. Benchmark cells (blue) are editable assumptions.</t>
  </si>
  <si>
    <t xml:space="preserve">Efficiency Analysis</t>
  </si>
  <si>
    <t xml:space="preserve">Return, cost, and profitability performance by channel</t>
  </si>
  <si>
    <t xml:space="preserve">Assumptions</t>
  </si>
  <si>
    <t xml:space="preserve">Target ROAS (minimum)</t>
  </si>
  <si>
    <t xml:space="preserve">Max CPA</t>
  </si>
  <si>
    <t xml:space="preserve">Shipping Cost per Order</t>
  </si>
  <si>
    <t xml:space="preserve">Product Cost (% of Revenue)</t>
  </si>
  <si>
    <t xml:space="preserve">Spend</t>
  </si>
  <si>
    <t xml:space="preserve">Revenue</t>
  </si>
  <si>
    <t xml:space="preserve">Orders</t>
  </si>
  <si>
    <t xml:space="preserve">ROAS Status</t>
  </si>
  <si>
    <t xml:space="preserve">CPA Status</t>
  </si>
  <si>
    <t xml:space="preserve">Net Profit Status</t>
  </si>
  <si>
    <t xml:space="preserve">date</t>
  </si>
  <si>
    <t xml:space="preserve">campaign_name</t>
  </si>
  <si>
    <t xml:space="preserve">channel</t>
  </si>
  <si>
    <t xml:space="preserve">segment</t>
  </si>
  <si>
    <t xml:space="preserve">impressions</t>
  </si>
  <si>
    <t xml:space="preserve">clicks</t>
  </si>
  <si>
    <t xml:space="preserve">conversions</t>
  </si>
  <si>
    <t xml:space="preserve">spend</t>
  </si>
  <si>
    <t xml:space="preserve">revenue</t>
  </si>
  <si>
    <t xml:space="preserve">orders</t>
  </si>
  <si>
    <t xml:space="preserve">2024-12-09</t>
  </si>
  <si>
    <t xml:space="preserve">Holiday_Sale_Prospecting</t>
  </si>
  <si>
    <t xml:space="preserve">New_Customers</t>
  </si>
  <si>
    <t xml:space="preserve">Holiday_Sale_Retargeting</t>
  </si>
  <si>
    <t xml:space="preserve">Retargeting</t>
  </si>
  <si>
    <t xml:space="preserve">Product_Launch_Awareness</t>
  </si>
  <si>
    <t xml:space="preserve">Brand_Search</t>
  </si>
  <si>
    <t xml:space="preserve">Shopping_Campaigns</t>
  </si>
  <si>
    <t xml:space="preserve">Dynamic_Remarketing</t>
  </si>
  <si>
    <t xml:space="preserve">Influencer_Collab_Video</t>
  </si>
  <si>
    <t xml:space="preserve">UGC_Content_Campaign</t>
  </si>
  <si>
    <t xml:space="preserve">Weekly_Newsletter</t>
  </si>
  <si>
    <t xml:space="preserve">Loyalty</t>
  </si>
  <si>
    <t xml:space="preserve">Abandoned_Cart_Sequence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</si>
  <si>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</si>
  <si>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</si>
  <si>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</si>
  <si>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</si>
  <si>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2024-12-14</t>
  </si>
  <si>
    <t xml:space="preserve">2024-12-15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</si>
</sst>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"/>
    <numFmt numFmtId="166" formatCode="0.00\x"/>
    <numFmt numFmtId="167" formatCode="0%"/>
    <numFmt numFmtId="168" formatCode="\$#,##0.00"/>
    <numFmt numFmtId="169" formatCode="#,##0"/>
    <numFmt numFmtId="170" formatCode="0.00"/>
    <numFmt numFmtId="171" formatCode="\$#,##0.00;[RED]&quot;-$&quot;#,##0.00"/>
    <numFmt numFmtId="172" formatCode="0.0%;[RED]\-0.0%"/>
    <numFmt numFmtId="173" formatCode="0.00%"/>
    <numFmt numFmtId="174" formatCode="0.0%"/>
    <numFmt numFmtId="175" formatCode="0.0\x"/>
    <numFmt numFmtId="176" formatCode="yyyy\-mm\-dd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E0B2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000000"/>
      </font>
      <fill>
        <patternFill>
          <bgColor rgb="FFFFF2CC"/>
        </patternFill>
      </fill>
    </dxf>
    <dxf>
      <font>
        <name val="Arial"/>
        <charset val="1"/>
        <family val="0"/>
        <color rgb="FF9C5700"/>
      </font>
      <fill>
        <patternFill>
          <bgColor rgb="FFFFE0B2"/>
        </patternFill>
      </fill>
    </dxf>
    <dxf>
      <font>
        <name val="Arial"/>
        <charset val="1"/>
        <family val="0"/>
        <color rgb="FF000000"/>
      </font>
      <fill>
        <patternFill>
          <bgColor rgb="FFD9D9D9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7B7B7"/>
      <rgbColor rgb="FF808080"/>
      <rgbColor rgb="FF9999FF"/>
      <rgbColor rgb="FFB45309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C7CE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32"/>
      <rgbColor rgb="FF003300"/>
      <rgbColor rgb="FF333300"/>
      <rgbColor rgb="FF9C5700"/>
      <rgbColor rgb="FF993366"/>
      <rgbColor rgb="FF1F4E78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awData" displayName="RawData" ref="A1:J71" headerRowCount="1" totalsRowCount="0" totalsRowShown="0">
  <autoFilter ref="A1:J71"/>
  <tableColumns count="10">
    <tableColumn id="1" name="date"/>
    <tableColumn id="2" name="campaign_name"/>
    <tableColumn id="3" name="channel"/>
    <tableColumn id="4" name="segment"/>
    <tableColumn id="5" name="impressions"/>
    <tableColumn id="6" name="clicks"/>
    <tableColumn id="7" name="conversions"/>
    <tableColumn id="8" name="spend"/>
    <tableColumn id="9" name="revenue"/>
    <tableColumn id="10" name="order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M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5"/>
    <col collapsed="false" customWidth="true" hidden="false" outlineLevel="0" max="8" min="5" style="1" width="12"/>
    <col collapsed="false" customWidth="true" hidden="false" outlineLevel="0" max="9" min="9" style="1" width="16"/>
    <col collapsed="false" customWidth="true" hidden="false" outlineLevel="0" max="10" min="10" style="1" width="13"/>
    <col collapsed="false" customWidth="true" hidden="false" outlineLevel="0" max="11" min="11" style="1" width="16"/>
    <col collapsed="false" customWidth="true" hidden="false" outlineLevel="0" max="13" min="12" style="1" width="15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f aca="false">SUM('Efficiency Analysis'!B11:B14)</f>
        <v>104682.25</v>
      </c>
    </row>
    <row r="6" customFormat="false" ht="15" hidden="false" customHeight="true" outlineLevel="0" collapsed="false">
      <c r="A6" s="5" t="s">
        <v>4</v>
      </c>
      <c r="B6" s="6" t="n">
        <f aca="false">SUM('Efficiency Analysis'!C11:C14)</f>
        <v>631975.86</v>
      </c>
    </row>
    <row r="7" customFormat="false" ht="15" hidden="false" customHeight="true" outlineLevel="0" collapsed="false">
      <c r="A7" s="5" t="s">
        <v>5</v>
      </c>
      <c r="B7" s="7" t="n">
        <f aca="false">B6/B5</f>
        <v>6.03708708974062</v>
      </c>
    </row>
    <row r="8" customFormat="false" ht="15" hidden="false" customHeight="true" outlineLevel="0" collapsed="false">
      <c r="A8" s="5" t="s">
        <v>6</v>
      </c>
      <c r="B8" s="6" t="n">
        <f aca="false">SUM('Efficiency Analysis'!J11:J14)</f>
        <v>255518.059</v>
      </c>
    </row>
    <row r="10" customFormat="false" ht="15" hidden="false" customHeight="true" outlineLevel="0" collapsed="false">
      <c r="A10" s="4" t="s">
        <v>7</v>
      </c>
    </row>
    <row r="11" customFormat="false" ht="27.75" hidden="false" customHeight="true" outlineLevel="0" collapsed="false">
      <c r="A11" s="8" t="s">
        <v>8</v>
      </c>
      <c r="B11" s="8"/>
      <c r="C11" s="8"/>
      <c r="D11" s="8"/>
      <c r="E11" s="8"/>
      <c r="F11" s="8"/>
      <c r="G11" s="8"/>
      <c r="H11" s="8"/>
    </row>
    <row r="12" customFormat="false" ht="27.75" hidden="false" customHeight="true" outlineLevel="0" collapsed="false">
      <c r="A12" s="8" t="s">
        <v>9</v>
      </c>
      <c r="B12" s="8"/>
      <c r="C12" s="8"/>
      <c r="D12" s="8"/>
      <c r="E12" s="8"/>
      <c r="F12" s="8"/>
      <c r="G12" s="8"/>
      <c r="H12" s="8"/>
    </row>
    <row r="13" customFormat="false" ht="27.75" hidden="false" customHeight="true" outlineLevel="0" collapsed="false">
      <c r="A13" s="8" t="s">
        <v>10</v>
      </c>
      <c r="B13" s="8"/>
      <c r="C13" s="8"/>
      <c r="D13" s="8"/>
      <c r="E13" s="8"/>
      <c r="F13" s="8"/>
      <c r="G13" s="8"/>
      <c r="H13" s="8"/>
    </row>
    <row r="14" customFormat="false" ht="27.75" hidden="false" customHeight="true" outlineLevel="0" collapsed="false">
      <c r="A14" s="8" t="s">
        <v>11</v>
      </c>
      <c r="B14" s="8"/>
      <c r="C14" s="8"/>
      <c r="D14" s="8"/>
      <c r="E14" s="8"/>
      <c r="F14" s="8"/>
      <c r="G14" s="8"/>
      <c r="H14" s="8"/>
    </row>
    <row r="16" customFormat="false" ht="15" hidden="false" customHeight="true" outlineLevel="0" collapsed="false">
      <c r="A16" s="4" t="s">
        <v>12</v>
      </c>
    </row>
    <row r="17" customFormat="false" ht="15" hidden="false" customHeight="true" outlineLevel="0" collapsed="false">
      <c r="A17" s="5" t="s">
        <v>13</v>
      </c>
      <c r="B17" s="9" t="n">
        <v>10000</v>
      </c>
    </row>
    <row r="18" customFormat="false" ht="15" hidden="false" customHeight="true" outlineLevel="0" collapsed="false">
      <c r="A18" s="5" t="s">
        <v>14</v>
      </c>
      <c r="B18" s="10" t="n">
        <v>0.15</v>
      </c>
    </row>
    <row r="19" customFormat="false" ht="15" hidden="false" customHeight="true" outlineLevel="0" collapsed="false">
      <c r="A19" s="4" t="s">
        <v>15</v>
      </c>
    </row>
    <row r="20" customFormat="false" ht="26.25" hidden="false" customHeight="true" outlineLevel="0" collapsed="false">
      <c r="A20" s="11" t="s">
        <v>16</v>
      </c>
      <c r="B20" s="11" t="s">
        <v>17</v>
      </c>
      <c r="C20" s="11" t="s">
        <v>18</v>
      </c>
      <c r="D20" s="11" t="s">
        <v>19</v>
      </c>
      <c r="E20" s="11" t="s">
        <v>20</v>
      </c>
      <c r="F20" s="11" t="s">
        <v>21</v>
      </c>
      <c r="G20" s="11" t="s">
        <v>22</v>
      </c>
      <c r="H20" s="11" t="s">
        <v>23</v>
      </c>
      <c r="I20" s="11" t="s">
        <v>24</v>
      </c>
      <c r="J20" s="11" t="s">
        <v>25</v>
      </c>
      <c r="K20" s="11" t="s">
        <v>26</v>
      </c>
      <c r="L20" s="11" t="s">
        <v>27</v>
      </c>
      <c r="M20" s="11" t="s">
        <v>28</v>
      </c>
    </row>
    <row r="21" customFormat="false" ht="15" hidden="false" customHeight="true" outlineLevel="0" collapsed="false">
      <c r="A21" s="12" t="s">
        <v>29</v>
      </c>
      <c r="B21" s="13" t="n">
        <f aca="false">'Efficiency Analysis'!B11</f>
        <v>36678.01</v>
      </c>
      <c r="C21" s="14" t="n">
        <f aca="false">'Efficiency Analysis'!D11</f>
        <v>1674</v>
      </c>
      <c r="D21" s="15" t="n">
        <f aca="false">'Efficiency Analysis'!F11</f>
        <v>4.5117701314766</v>
      </c>
      <c r="E21" s="16" t="n">
        <f aca="false">D21/'Efficiency Analysis'!$B$5</f>
        <v>1.12794253286915</v>
      </c>
      <c r="F21" s="13" t="n">
        <f aca="false">'Efficiency Analysis'!H11</f>
        <v>21.9104002389486</v>
      </c>
      <c r="G21" s="16" t="n">
        <f aca="false">F21/'Efficiency Analysis'!$B$6</f>
        <v>0.438208004778973</v>
      </c>
      <c r="H21" s="13" t="n">
        <f aca="false">'Efficiency Analysis'!J11</f>
        <v>57493.7775</v>
      </c>
      <c r="I21" s="17" t="str">
        <f aca="false">IF(C21&lt;50,"INSUFFICIENT_DATA",IF(AND(E21&lt;0.5,H21&lt;=0),"DECREASE_HEAVY",IF(AND(G21&gt;1.5,H21&lt;=0),"DECREASE_HEAVY",IF(AND(E21&lt;1,G21&gt;1,H21&lt;=0),"DECREASE_HEAVY",IF(AND(E21&gt;=1.15,G21&lt;=0.8,H21&gt;0),"INCREASE",IF(E21&lt;0.8,"DECREASE_LIGHT",IF(G21&gt;1.2,"DECREASE_LIGHT","MAINTAIN")))))))</f>
        <v>MAINTAIN</v>
      </c>
      <c r="J21" s="13" t="n">
        <f aca="false">IF(I21="DECREASE_HEAVY",B21*0.45,IF(I21="DECREASE_LIGHT",B21*0.25,0))</f>
        <v>0</v>
      </c>
      <c r="K21" s="13" t="n">
        <f aca="false">(IF(I21="INCREASE",H21/SUMIF($I$21:$I$24,"INCREASE",$H$21:$H$24),0))*$B$26</f>
        <v>0</v>
      </c>
      <c r="L21" s="13" t="n">
        <f aca="false">B21*$B$18</f>
        <v>5501.7015</v>
      </c>
      <c r="M21" s="13" t="n">
        <f aca="false">IF(I21="INCREASE",MIN(K21,L21),0)</f>
        <v>0</v>
      </c>
    </row>
    <row r="22" customFormat="false" ht="15" hidden="false" customHeight="true" outlineLevel="0" collapsed="false">
      <c r="A22" s="12" t="s">
        <v>30</v>
      </c>
      <c r="B22" s="13" t="n">
        <f aca="false">'Efficiency Analysis'!B12</f>
        <v>28184.51</v>
      </c>
      <c r="C22" s="14" t="n">
        <f aca="false">'Efficiency Analysis'!D12</f>
        <v>1651</v>
      </c>
      <c r="D22" s="15" t="n">
        <f aca="false">'Efficiency Analysis'!F12</f>
        <v>6.04640172917677</v>
      </c>
      <c r="E22" s="16" t="n">
        <f aca="false">D22/'Efficiency Analysis'!$B$5</f>
        <v>1.51160043229419</v>
      </c>
      <c r="F22" s="13" t="n">
        <f aca="false">'Efficiency Analysis'!H12</f>
        <v>17.071175045427</v>
      </c>
      <c r="G22" s="16" t="n">
        <f aca="false">F22/'Efficiency Analysis'!$B$6</f>
        <v>0.34142350090854</v>
      </c>
      <c r="H22" s="13" t="n">
        <f aca="false">'Efficiency Analysis'!J12</f>
        <v>69377.1555</v>
      </c>
      <c r="I22" s="17" t="str">
        <f aca="false">IF(C22&lt;50,"INSUFFICIENT_DATA",IF(AND(E22&lt;0.5,H22&lt;=0),"DECREASE_HEAVY",IF(AND(G22&gt;1.5,H22&lt;=0),"DECREASE_HEAVY",IF(AND(E22&lt;1,G22&gt;1,H22&lt;=0),"DECREASE_HEAVY",IF(AND(E22&gt;=1.15,G22&lt;=0.8,H22&gt;0),"INCREASE",IF(E22&lt;0.8,"DECREASE_LIGHT",IF(G22&gt;1.2,"DECREASE_LIGHT","MAINTAIN")))))))</f>
        <v>INCREASE</v>
      </c>
      <c r="J22" s="13" t="n">
        <f aca="false">IF(I22="DECREASE_HEAVY",B22*0.45,IF(I22="DECREASE_LIGHT",B22*0.25,0))</f>
        <v>0</v>
      </c>
      <c r="K22" s="13" t="n">
        <f aca="false">(IF(I22="INCREASE",H22/SUMIF($I$21:$I$24,"INCREASE",$H$21:$H$24),0))*$B$26</f>
        <v>5832.26582468536</v>
      </c>
      <c r="L22" s="13" t="n">
        <f aca="false">B22*$B$18</f>
        <v>4227.6765</v>
      </c>
      <c r="M22" s="13" t="n">
        <f aca="false">IF(I22="INCREASE",MIN(K22,L22),0)</f>
        <v>4227.6765</v>
      </c>
    </row>
    <row r="23" customFormat="false" ht="15" hidden="false" customHeight="true" outlineLevel="0" collapsed="false">
      <c r="A23" s="12" t="s">
        <v>31</v>
      </c>
      <c r="B23" s="13" t="n">
        <f aca="false">'Efficiency Analysis'!B13</f>
        <v>37982.97</v>
      </c>
      <c r="C23" s="14" t="n">
        <f aca="false">'Efficiency Analysis'!D13</f>
        <v>663</v>
      </c>
      <c r="D23" s="15" t="n">
        <f aca="false">'Efficiency Analysis'!F13</f>
        <v>1.53878725123391</v>
      </c>
      <c r="E23" s="16" t="n">
        <f aca="false">D23/'Efficiency Analysis'!$B$5</f>
        <v>0.384696812808477</v>
      </c>
      <c r="F23" s="13" t="n">
        <f aca="false">'Efficiency Analysis'!H13</f>
        <v>57.2895475113122</v>
      </c>
      <c r="G23" s="16" t="n">
        <f aca="false">F23/'Efficiency Analysis'!$B$6</f>
        <v>1.14579095022624</v>
      </c>
      <c r="H23" s="13" t="n">
        <f aca="false">'Efficiency Analysis'!J13</f>
        <v>-5295.9585</v>
      </c>
      <c r="I23" s="17" t="str">
        <f aca="false">IF(C23&lt;50,"INSUFFICIENT_DATA",IF(AND(E23&lt;0.5,H23&lt;=0),"DECREASE_HEAVY",IF(AND(G23&gt;1.5,H23&lt;=0),"DECREASE_HEAVY",IF(AND(E23&lt;1,G23&gt;1,H23&lt;=0),"DECREASE_HEAVY",IF(AND(E23&gt;=1.15,G23&lt;=0.8,H23&gt;0),"INCREASE",IF(E23&lt;0.8,"DECREASE_LIGHT",IF(G23&gt;1.2,"DECREASE_LIGHT","MAINTAIN")))))))</f>
        <v>DECREASE_HEAVY</v>
      </c>
      <c r="J23" s="13" t="n">
        <f aca="false">IF(I23="DECREASE_HEAVY",B23*0.45,IF(I23="DECREASE_LIGHT",B23*0.25,0))</f>
        <v>17092.3365</v>
      </c>
      <c r="K23" s="13" t="n">
        <f aca="false">(IF(I23="INCREASE",H23/SUMIF($I$21:$I$24,"INCREASE",$H$21:$H$24),0))*$B$26</f>
        <v>0</v>
      </c>
      <c r="L23" s="13" t="n">
        <f aca="false">B23*$B$18</f>
        <v>5697.4455</v>
      </c>
      <c r="M23" s="13" t="n">
        <f aca="false">IF(I23="INCREASE",MIN(K23,L23),0)</f>
        <v>0</v>
      </c>
    </row>
    <row r="24" customFormat="false" ht="15" hidden="false" customHeight="true" outlineLevel="0" collapsed="false">
      <c r="A24" s="12" t="s">
        <v>32</v>
      </c>
      <c r="B24" s="13" t="n">
        <f aca="false">'Efficiency Analysis'!B14</f>
        <v>1836.76</v>
      </c>
      <c r="C24" s="14" t="n">
        <f aca="false">'Efficiency Analysis'!D14</f>
        <v>2335</v>
      </c>
      <c r="D24" s="15" t="n">
        <f aca="false">'Efficiency Analysis'!F14</f>
        <v>129.374839391102</v>
      </c>
      <c r="E24" s="16" t="n">
        <f aca="false">D24/'Efficiency Analysis'!$B$5</f>
        <v>32.3437098477754</v>
      </c>
      <c r="F24" s="13" t="n">
        <f aca="false">'Efficiency Analysis'!H14</f>
        <v>0.786620985010707</v>
      </c>
      <c r="G24" s="16" t="n">
        <f aca="false">F24/'Efficiency Analysis'!$B$6</f>
        <v>0.0157324197002141</v>
      </c>
      <c r="H24" s="13" t="n">
        <f aca="false">'Efficiency Analysis'!J14</f>
        <v>133943.0845</v>
      </c>
      <c r="I24" s="17" t="str">
        <f aca="false">IF(C24&lt;50,"INSUFFICIENT_DATA",IF(AND(E24&lt;0.5,H24&lt;=0),"DECREASE_HEAVY",IF(AND(G24&gt;1.5,H24&lt;=0),"DECREASE_HEAVY",IF(AND(E24&lt;1,G24&gt;1,H24&lt;=0),"DECREASE_HEAVY",IF(AND(E24&gt;=1.15,G24&lt;=0.8,H24&gt;0),"INCREASE",IF(E24&lt;0.8,"DECREASE_LIGHT",IF(G24&gt;1.2,"DECREASE_LIGHT","MAINTAIN")))))))</f>
        <v>INCREASE</v>
      </c>
      <c r="J24" s="13" t="n">
        <f aca="false">IF(I24="DECREASE_HEAVY",B24*0.45,IF(I24="DECREASE_LIGHT",B24*0.25,0))</f>
        <v>0</v>
      </c>
      <c r="K24" s="13" t="n">
        <f aca="false">(IF(I24="INCREASE",H24/SUMIF($I$21:$I$24,"INCREASE",$H$21:$H$24),0))*$B$26</f>
        <v>11260.0706753146</v>
      </c>
      <c r="L24" s="13" t="n">
        <f aca="false">B24*$B$18</f>
        <v>275.514</v>
      </c>
      <c r="M24" s="13" t="n">
        <f aca="false">IF(I24="INCREASE",MIN(K24,L24),0)</f>
        <v>275.514</v>
      </c>
    </row>
    <row r="26" customFormat="false" ht="15" hidden="false" customHeight="true" outlineLevel="0" collapsed="false">
      <c r="A26" s="18" t="s">
        <v>33</v>
      </c>
      <c r="B26" s="19" t="n">
        <f aca="false">SUM(J21:J24)</f>
        <v>17092.3365</v>
      </c>
    </row>
    <row r="27" customFormat="false" ht="15" hidden="false" customHeight="true" outlineLevel="0" collapsed="false">
      <c r="A27" s="5" t="s">
        <v>34</v>
      </c>
      <c r="B27" s="20" t="n">
        <f aca="false">IFERROR(MIN(1,$B$17/SUM(M21:M24)),1)</f>
        <v>1</v>
      </c>
    </row>
    <row r="28" customFormat="false" ht="15" hidden="false" customHeight="true" outlineLevel="0" collapsed="false">
      <c r="A28" s="18" t="s">
        <v>35</v>
      </c>
      <c r="B28" s="19" t="n">
        <f aca="false">$B$26-SUM(M21:M24)*$B$27</f>
        <v>12589.146</v>
      </c>
    </row>
    <row r="30" customFormat="false" ht="15" hidden="false" customHeight="true" outlineLevel="0" collapsed="false">
      <c r="A30" s="4" t="s">
        <v>36</v>
      </c>
    </row>
    <row r="31" customFormat="false" ht="26.25" hidden="false" customHeight="true" outlineLevel="0" collapsed="false">
      <c r="A31" s="11" t="s">
        <v>16</v>
      </c>
      <c r="B31" s="11" t="s">
        <v>37</v>
      </c>
      <c r="C31" s="11" t="s">
        <v>38</v>
      </c>
      <c r="D31" s="11" t="s">
        <v>39</v>
      </c>
      <c r="E31" s="11" t="s">
        <v>40</v>
      </c>
      <c r="F31" s="11" t="s">
        <v>24</v>
      </c>
    </row>
    <row r="32" customFormat="false" ht="15" hidden="false" customHeight="true" outlineLevel="0" collapsed="false">
      <c r="A32" s="12" t="str">
        <f aca="false">A21</f>
        <v>Facebook_Ads</v>
      </c>
      <c r="B32" s="13" t="n">
        <f aca="false">B21</f>
        <v>36678.01</v>
      </c>
      <c r="C32" s="21" t="n">
        <f aca="false">M21*$B$27-J21</f>
        <v>0</v>
      </c>
      <c r="D32" s="22" t="n">
        <f aca="false">C32/B32</f>
        <v>0</v>
      </c>
      <c r="E32" s="13" t="n">
        <f aca="false">B32+C32</f>
        <v>36678.01</v>
      </c>
      <c r="F32" s="17" t="str">
        <f aca="false">I21</f>
        <v>MAINTAIN</v>
      </c>
    </row>
    <row r="33" customFormat="false" ht="15" hidden="false" customHeight="true" outlineLevel="0" collapsed="false">
      <c r="A33" s="12" t="str">
        <f aca="false">A22</f>
        <v>Google_Ads</v>
      </c>
      <c r="B33" s="13" t="n">
        <f aca="false">B22</f>
        <v>28184.51</v>
      </c>
      <c r="C33" s="21" t="n">
        <f aca="false">M22*$B$27-J22</f>
        <v>4227.6765</v>
      </c>
      <c r="D33" s="22" t="n">
        <f aca="false">C33/B33</f>
        <v>0.15</v>
      </c>
      <c r="E33" s="13" t="n">
        <f aca="false">B33+C33</f>
        <v>32412.1865</v>
      </c>
      <c r="F33" s="17" t="str">
        <f aca="false">I22</f>
        <v>INCREASE</v>
      </c>
    </row>
    <row r="34" customFormat="false" ht="15" hidden="false" customHeight="true" outlineLevel="0" collapsed="false">
      <c r="A34" s="12" t="str">
        <f aca="false">A23</f>
        <v>TikTok_Ads</v>
      </c>
      <c r="B34" s="13" t="n">
        <f aca="false">B23</f>
        <v>37982.97</v>
      </c>
      <c r="C34" s="21" t="n">
        <f aca="false">M23*$B$27-J23</f>
        <v>-17092.3365</v>
      </c>
      <c r="D34" s="22" t="n">
        <f aca="false">C34/B34</f>
        <v>-0.45</v>
      </c>
      <c r="E34" s="13" t="n">
        <f aca="false">B34+C34</f>
        <v>20890.6335</v>
      </c>
      <c r="F34" s="17" t="str">
        <f aca="false">I23</f>
        <v>DECREASE_HEAVY</v>
      </c>
    </row>
    <row r="35" customFormat="false" ht="15" hidden="false" customHeight="true" outlineLevel="0" collapsed="false">
      <c r="A35" s="12" t="str">
        <f aca="false">A24</f>
        <v>Email</v>
      </c>
      <c r="B35" s="13" t="n">
        <f aca="false">B24</f>
        <v>1836.76</v>
      </c>
      <c r="C35" s="21" t="n">
        <f aca="false">M24*$B$27-J24</f>
        <v>275.514</v>
      </c>
      <c r="D35" s="22" t="n">
        <f aca="false">C35/B35</f>
        <v>0.15</v>
      </c>
      <c r="E35" s="13" t="n">
        <f aca="false">B35+C35</f>
        <v>2112.274</v>
      </c>
      <c r="F35" s="17" t="str">
        <f aca="false">I24</f>
        <v>INCREASE</v>
      </c>
    </row>
    <row r="36" customFormat="false" ht="15" hidden="false" customHeight="true" outlineLevel="0" collapsed="false">
      <c r="A36" s="23" t="s">
        <v>41</v>
      </c>
      <c r="B36" s="23"/>
      <c r="C36" s="24" t="n">
        <f aca="false">B28</f>
        <v>12589.146</v>
      </c>
      <c r="D36" s="23"/>
      <c r="E36" s="23"/>
      <c r="F36" s="23"/>
    </row>
    <row r="38" customFormat="false" ht="27.75" hidden="false" customHeight="true" outlineLevel="0" collapsed="false">
      <c r="A38" s="25" t="s">
        <v>42</v>
      </c>
      <c r="B38" s="25"/>
      <c r="C38" s="25"/>
      <c r="D38" s="25"/>
      <c r="E38" s="25"/>
      <c r="F38" s="25"/>
    </row>
  </sheetData>
  <mergeCells count="5">
    <mergeCell ref="A11:H11"/>
    <mergeCell ref="A12:H12"/>
    <mergeCell ref="A13:H13"/>
    <mergeCell ref="A14:H14"/>
    <mergeCell ref="A38:F38"/>
  </mergeCells>
  <conditionalFormatting sqref="C32:C35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D32:D35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conditionalFormatting sqref="I21:I24">
    <cfRule type="expression" priority="6" aboveAverage="0" equalAverage="0" bottom="0" percent="0" rank="0" text="" dxfId="0">
      <formula>I21="INCREASE"</formula>
    </cfRule>
    <cfRule type="expression" priority="7" aboveAverage="0" equalAverage="0" bottom="0" percent="0" rank="0" text="" dxfId="2">
      <formula>I21="MAINTAIN"</formula>
    </cfRule>
    <cfRule type="expression" priority="8" aboveAverage="0" equalAverage="0" bottom="0" percent="0" rank="0" text="" dxfId="3">
      <formula>I21="DECREASE_LIGHT"</formula>
    </cfRule>
    <cfRule type="expression" priority="9" aboveAverage="0" equalAverage="0" bottom="0" percent="0" rank="0" text="" dxfId="1">
      <formula>I21="DECREASE_HEAVY"</formula>
    </cfRule>
    <cfRule type="expression" priority="10" aboveAverage="0" equalAverage="0" bottom="0" percent="0" rank="0" text="" dxfId="4">
      <formula>I21="INSUFFICIENT_DATA"</formula>
    </cfRule>
  </conditionalFormatting>
  <conditionalFormatting sqref="F32:F35">
    <cfRule type="expression" priority="11" aboveAverage="0" equalAverage="0" bottom="0" percent="0" rank="0" text="" dxfId="0">
      <formula>F32="INCREASE"</formula>
    </cfRule>
    <cfRule type="expression" priority="12" aboveAverage="0" equalAverage="0" bottom="0" percent="0" rank="0" text="" dxfId="2">
      <formula>F32="MAINTAIN"</formula>
    </cfRule>
    <cfRule type="expression" priority="13" aboveAverage="0" equalAverage="0" bottom="0" percent="0" rank="0" text="" dxfId="3">
      <formula>F32="DECREASE_LIGHT"</formula>
    </cfRule>
    <cfRule type="expression" priority="14" aboveAverage="0" equalAverage="0" bottom="0" percent="0" rank="0" text="" dxfId="1">
      <formula>F32="DECREASE_HEAVY"</formula>
    </cfRule>
    <cfRule type="expression" priority="15" aboveAverage="0" equalAverage="0" bottom="0" percent="0" rank="0" text="" dxfId="4">
      <formula>F32="INSUFFICIENT_DATA"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3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11"/>
    <col collapsed="false" customWidth="true" hidden="false" outlineLevel="0" max="6" min="6" style="1" width="14"/>
    <col collapsed="false" customWidth="true" hidden="false" outlineLevel="0" max="7" min="7" style="1" width="13"/>
    <col collapsed="false" customWidth="true" hidden="false" outlineLevel="0" max="8" min="8" style="1" width="11"/>
    <col collapsed="false" customWidth="true" hidden="false" outlineLevel="0" max="9" min="9" style="1" width="14"/>
    <col collapsed="false" customWidth="true" hidden="false" outlineLevel="0" max="10" min="10" style="1" width="13"/>
  </cols>
  <sheetData>
    <row r="1" customFormat="false" ht="19.5" hidden="false" customHeight="true" outlineLevel="0" collapsed="false">
      <c r="A1" s="2" t="s">
        <v>43</v>
      </c>
    </row>
    <row r="2" customFormat="false" ht="15" hidden="false" customHeight="true" outlineLevel="0" collapsed="false">
      <c r="A2" s="3" t="s">
        <v>44</v>
      </c>
    </row>
    <row r="4" customFormat="false" ht="26.25" hidden="false" customHeight="true" outlineLevel="0" collapsed="false">
      <c r="A4" s="11" t="s">
        <v>16</v>
      </c>
      <c r="B4" s="11" t="s">
        <v>45</v>
      </c>
      <c r="C4" s="11" t="s">
        <v>46</v>
      </c>
      <c r="D4" s="11" t="s">
        <v>18</v>
      </c>
      <c r="E4" s="11" t="s">
        <v>47</v>
      </c>
      <c r="F4" s="11" t="s">
        <v>48</v>
      </c>
      <c r="G4" s="11" t="s">
        <v>49</v>
      </c>
      <c r="H4" s="11" t="s">
        <v>50</v>
      </c>
      <c r="I4" s="11" t="s">
        <v>51</v>
      </c>
      <c r="J4" s="11" t="s">
        <v>52</v>
      </c>
    </row>
    <row r="5" customFormat="false" ht="15" hidden="false" customHeight="true" outlineLevel="0" collapsed="false">
      <c r="A5" s="12" t="s">
        <v>29</v>
      </c>
      <c r="B5" s="14" t="n">
        <f aca="false">SUMIFS('Raw Data'!E2:E71,'Raw Data'!C2:C71,A5)</f>
        <v>1941612</v>
      </c>
      <c r="C5" s="14" t="n">
        <f aca="false">SUMIFS('Raw Data'!F2:F71,'Raw Data'!C2:C71,A5)</f>
        <v>51940</v>
      </c>
      <c r="D5" s="14" t="n">
        <f aca="false">SUMIFS('Raw Data'!G2:G71,'Raw Data'!C2:C71,A5)</f>
        <v>1674</v>
      </c>
      <c r="E5" s="26" t="n">
        <f aca="false">IFERROR(C5/B5,"N/A")</f>
        <v>0.0267509677525685</v>
      </c>
      <c r="F5" s="27" t="n">
        <v>0.025</v>
      </c>
      <c r="G5" s="26" t="n">
        <f aca="false">IFERROR(E5-F5,"N/A")</f>
        <v>0.00175096775256848</v>
      </c>
      <c r="H5" s="26" t="n">
        <f aca="false">IFERROR(D5/C5,"N/A")</f>
        <v>0.0322294955718136</v>
      </c>
      <c r="I5" s="27" t="n">
        <v>0.038</v>
      </c>
      <c r="J5" s="26" t="n">
        <f aca="false">IFERROR(H5-I5,"N/A")</f>
        <v>-0.00577050442818637</v>
      </c>
    </row>
    <row r="6" customFormat="false" ht="15" hidden="false" customHeight="true" outlineLevel="0" collapsed="false">
      <c r="A6" s="12" t="s">
        <v>30</v>
      </c>
      <c r="B6" s="14" t="n">
        <f aca="false">SUMIFS('Raw Data'!E2:E71,'Raw Data'!C2:C71,A6)</f>
        <v>978780</v>
      </c>
      <c r="C6" s="14" t="n">
        <f aca="false">SUMIFS('Raw Data'!F2:F71,'Raw Data'!C2:C71,A6)</f>
        <v>30613</v>
      </c>
      <c r="D6" s="14" t="n">
        <f aca="false">SUMIFS('Raw Data'!G2:G71,'Raw Data'!C2:C71,A6)</f>
        <v>1651</v>
      </c>
      <c r="E6" s="26" t="n">
        <f aca="false">IFERROR(C6/B6,"N/A")</f>
        <v>0.0312766913913239</v>
      </c>
      <c r="F6" s="27" t="n">
        <v>0.05</v>
      </c>
      <c r="G6" s="26" t="n">
        <f aca="false">IFERROR(E6-F6,"N/A")</f>
        <v>-0.0187233086086761</v>
      </c>
      <c r="H6" s="26" t="n">
        <f aca="false">IFERROR(D6/C6,"N/A")</f>
        <v>0.0539313363603698</v>
      </c>
      <c r="I6" s="27" t="n">
        <v>0.045</v>
      </c>
      <c r="J6" s="26" t="n">
        <f aca="false">IFERROR(H6-I6,"N/A")</f>
        <v>0.00893133636036978</v>
      </c>
    </row>
    <row r="7" customFormat="false" ht="15" hidden="false" customHeight="true" outlineLevel="0" collapsed="false">
      <c r="A7" s="12" t="s">
        <v>31</v>
      </c>
      <c r="B7" s="14" t="n">
        <f aca="false">SUMIFS('Raw Data'!E2:E71,'Raw Data'!C2:C71,A7)</f>
        <v>3260225</v>
      </c>
      <c r="C7" s="14" t="n">
        <f aca="false">SUMIFS('Raw Data'!F2:F71,'Raw Data'!C2:C71,A7)</f>
        <v>63698</v>
      </c>
      <c r="D7" s="14" t="n">
        <f aca="false">SUMIFS('Raw Data'!G2:G71,'Raw Data'!C2:C71,A7)</f>
        <v>663</v>
      </c>
      <c r="E7" s="26" t="n">
        <f aca="false">IFERROR(C7/B7,"N/A")</f>
        <v>0.0195379153279298</v>
      </c>
      <c r="F7" s="27" t="n">
        <v>0.02</v>
      </c>
      <c r="G7" s="26" t="n">
        <f aca="false">IFERROR(E7-F7,"N/A")</f>
        <v>-0.000462084672070179</v>
      </c>
      <c r="H7" s="26" t="n">
        <f aca="false">IFERROR(D7/C7,"N/A")</f>
        <v>0.0104084900624823</v>
      </c>
      <c r="I7" s="27" t="n">
        <v>0.009</v>
      </c>
      <c r="J7" s="26" t="n">
        <f aca="false">IFERROR(H7-I7,"N/A")</f>
        <v>0.00140849006248234</v>
      </c>
    </row>
    <row r="8" customFormat="false" ht="15" hidden="false" customHeight="true" outlineLevel="0" collapsed="false">
      <c r="A8" s="12" t="s">
        <v>32</v>
      </c>
      <c r="B8" s="14" t="n">
        <f aca="false">SUMIFS('Raw Data'!E2:E71,'Raw Data'!C2:C71,A8)</f>
        <v>0</v>
      </c>
      <c r="C8" s="14" t="n">
        <f aca="false">SUMIFS('Raw Data'!F2:F71,'Raw Data'!C2:C71,A8)</f>
        <v>100213</v>
      </c>
      <c r="D8" s="14" t="n">
        <f aca="false">SUMIFS('Raw Data'!G2:G71,'Raw Data'!C2:C71,A8)</f>
        <v>2335</v>
      </c>
      <c r="E8" s="26" t="str">
        <f aca="false">IFERROR(C8/B8,"N/A")</f>
        <v>N/A</v>
      </c>
      <c r="F8" s="27" t="n">
        <v>0.15</v>
      </c>
      <c r="G8" s="26" t="str">
        <f aca="false">IFERROR(E8-F8,"N/A")</f>
        <v>N/A</v>
      </c>
      <c r="H8" s="26" t="n">
        <f aca="false">IFERROR(D8/C8,"N/A")</f>
        <v>0.0233003702114496</v>
      </c>
      <c r="I8" s="27" t="n">
        <v>0.021</v>
      </c>
      <c r="J8" s="26" t="n">
        <f aca="false">IFERROR(H8-I8,"N/A")</f>
        <v>0.00230037021144961</v>
      </c>
    </row>
    <row r="10" customFormat="false" ht="15" hidden="false" customHeight="true" outlineLevel="0" collapsed="false">
      <c r="A10" s="28" t="s">
        <v>53</v>
      </c>
    </row>
  </sheetData>
  <conditionalFormatting sqref="G5:G8">
    <cfRule type="cellIs" priority="2" operator="greaterThanOrEqual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J5:J8">
    <cfRule type="cellIs" priority="4" operator="greaterThanOrEqual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A1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3"/>
    <col collapsed="false" customWidth="true" hidden="false" outlineLevel="0" max="4" min="4" style="1" width="12"/>
    <col collapsed="false" customWidth="true" hidden="false" outlineLevel="0" max="6" min="5" style="1" width="9"/>
    <col collapsed="false" customWidth="true" hidden="false" outlineLevel="0" max="8" min="7" style="1" width="11"/>
    <col collapsed="false" customWidth="true" hidden="false" outlineLevel="0" max="9" min="9" style="1" width="10"/>
    <col collapsed="false" customWidth="true" hidden="false" outlineLevel="0" max="11" min="10" style="1" width="13"/>
  </cols>
  <sheetData>
    <row r="1" customFormat="false" ht="19.5" hidden="false" customHeight="true" outlineLevel="0" collapsed="false">
      <c r="A1" s="2" t="s">
        <v>54</v>
      </c>
    </row>
    <row r="2" customFormat="false" ht="15" hidden="false" customHeight="true" outlineLevel="0" collapsed="false">
      <c r="A2" s="3" t="s">
        <v>55</v>
      </c>
    </row>
    <row r="4" customFormat="false" ht="15" hidden="false" customHeight="true" outlineLevel="0" collapsed="false">
      <c r="A4" s="4" t="s">
        <v>56</v>
      </c>
    </row>
    <row r="5" customFormat="false" ht="15" hidden="false" customHeight="true" outlineLevel="0" collapsed="false">
      <c r="A5" s="5" t="s">
        <v>57</v>
      </c>
      <c r="B5" s="29" t="n">
        <v>4</v>
      </c>
    </row>
    <row r="6" customFormat="false" ht="15" hidden="false" customHeight="true" outlineLevel="0" collapsed="false">
      <c r="A6" s="5" t="s">
        <v>58</v>
      </c>
      <c r="B6" s="9" t="n">
        <v>50</v>
      </c>
    </row>
    <row r="7" customFormat="false" ht="15" hidden="false" customHeight="true" outlineLevel="0" collapsed="false">
      <c r="A7" s="5" t="s">
        <v>59</v>
      </c>
      <c r="B7" s="30" t="n">
        <v>8</v>
      </c>
    </row>
    <row r="8" customFormat="false" ht="15" hidden="false" customHeight="true" outlineLevel="0" collapsed="false">
      <c r="A8" s="5" t="s">
        <v>60</v>
      </c>
      <c r="B8" s="10" t="n">
        <v>0.35</v>
      </c>
    </row>
    <row r="10" customFormat="false" ht="26.25" hidden="false" customHeight="true" outlineLevel="0" collapsed="false">
      <c r="A10" s="11" t="s">
        <v>16</v>
      </c>
      <c r="B10" s="11" t="s">
        <v>61</v>
      </c>
      <c r="C10" s="11" t="s">
        <v>62</v>
      </c>
      <c r="D10" s="11" t="s">
        <v>18</v>
      </c>
      <c r="E10" s="11" t="s">
        <v>63</v>
      </c>
      <c r="F10" s="11" t="s">
        <v>19</v>
      </c>
      <c r="G10" s="11" t="s">
        <v>64</v>
      </c>
      <c r="H10" s="11" t="s">
        <v>21</v>
      </c>
      <c r="I10" s="11" t="s">
        <v>65</v>
      </c>
      <c r="J10" s="11" t="s">
        <v>23</v>
      </c>
      <c r="K10" s="11" t="s">
        <v>66</v>
      </c>
    </row>
    <row r="11" customFormat="false" ht="15" hidden="false" customHeight="true" outlineLevel="0" collapsed="false">
      <c r="A11" s="12" t="s">
        <v>29</v>
      </c>
      <c r="B11" s="13" t="n">
        <f aca="false">SUMIFS('Raw Data'!H2:H71,'Raw Data'!C2:C71,A11)</f>
        <v>36678.01</v>
      </c>
      <c r="C11" s="13" t="n">
        <f aca="false">SUMIFS('Raw Data'!I2:I71,'Raw Data'!C2:C71,A11)</f>
        <v>165482.75</v>
      </c>
      <c r="D11" s="14" t="n">
        <f aca="false">SUMIFS('Raw Data'!G2:G71,'Raw Data'!C2:C71,A11)</f>
        <v>1674</v>
      </c>
      <c r="E11" s="14" t="n">
        <f aca="false">SUMIFS('Raw Data'!J2:J71,'Raw Data'!C2:C71,A11)</f>
        <v>1674</v>
      </c>
      <c r="F11" s="15" t="n">
        <f aca="false">IFERROR(C11/B11,0)</f>
        <v>4.5117701314766</v>
      </c>
      <c r="G11" s="31" t="str">
        <f aca="false">IF(F11&gt;=$B$5,"Above","Below")</f>
        <v>Above</v>
      </c>
      <c r="H11" s="13" t="n">
        <f aca="false">IFERROR(B11/D11,0)</f>
        <v>21.9104002389486</v>
      </c>
      <c r="I11" s="31" t="str">
        <f aca="false">IF(H11&lt;=$B$6,"Below","Above")</f>
        <v>Below</v>
      </c>
      <c r="J11" s="13" t="n">
        <f aca="false">C11-(B11+E11*$B$7+C11*$B$8)</f>
        <v>57493.7775</v>
      </c>
      <c r="K11" s="31" t="str">
        <f aca="false">IF(J11&gt;0,"Positive","Negative")</f>
        <v>Positive</v>
      </c>
    </row>
    <row r="12" customFormat="false" ht="15" hidden="false" customHeight="true" outlineLevel="0" collapsed="false">
      <c r="A12" s="12" t="s">
        <v>30</v>
      </c>
      <c r="B12" s="13" t="n">
        <f aca="false">SUMIFS('Raw Data'!H2:H71,'Raw Data'!C2:C71,A12)</f>
        <v>28184.51</v>
      </c>
      <c r="C12" s="13" t="n">
        <f aca="false">SUMIFS('Raw Data'!I2:I71,'Raw Data'!C2:C71,A12)</f>
        <v>170414.87</v>
      </c>
      <c r="D12" s="14" t="n">
        <f aca="false">SUMIFS('Raw Data'!G2:G71,'Raw Data'!C2:C71,A12)</f>
        <v>1651</v>
      </c>
      <c r="E12" s="14" t="n">
        <f aca="false">SUMIFS('Raw Data'!J2:J71,'Raw Data'!C2:C71,A12)</f>
        <v>1651</v>
      </c>
      <c r="F12" s="15" t="n">
        <f aca="false">IFERROR(C12/B12,0)</f>
        <v>6.04640172917677</v>
      </c>
      <c r="G12" s="31" t="str">
        <f aca="false">IF(F12&gt;=$B$5,"Above","Below")</f>
        <v>Above</v>
      </c>
      <c r="H12" s="13" t="n">
        <f aca="false">IFERROR(B12/D12,0)</f>
        <v>17.071175045427</v>
      </c>
      <c r="I12" s="31" t="str">
        <f aca="false">IF(H12&lt;=$B$6,"Below","Above")</f>
        <v>Below</v>
      </c>
      <c r="J12" s="13" t="n">
        <f aca="false">C12-(B12+E12*$B$7+C12*$B$8)</f>
        <v>69377.1555</v>
      </c>
      <c r="K12" s="31" t="str">
        <f aca="false">IF(J12&gt;0,"Positive","Negative")</f>
        <v>Positive</v>
      </c>
    </row>
    <row r="13" customFormat="false" ht="15" hidden="false" customHeight="true" outlineLevel="0" collapsed="false">
      <c r="A13" s="12" t="s">
        <v>31</v>
      </c>
      <c r="B13" s="13" t="n">
        <f aca="false">SUMIFS('Raw Data'!H2:H71,'Raw Data'!C2:C71,A13)</f>
        <v>37982.97</v>
      </c>
      <c r="C13" s="13" t="n">
        <f aca="false">SUMIFS('Raw Data'!I2:I71,'Raw Data'!C2:C71,A13)</f>
        <v>58447.71</v>
      </c>
      <c r="D13" s="14" t="n">
        <f aca="false">SUMIFS('Raw Data'!G2:G71,'Raw Data'!C2:C71,A13)</f>
        <v>663</v>
      </c>
      <c r="E13" s="14" t="n">
        <f aca="false">SUMIFS('Raw Data'!J2:J71,'Raw Data'!C2:C71,A13)</f>
        <v>663</v>
      </c>
      <c r="F13" s="15" t="n">
        <f aca="false">IFERROR(C13/B13,0)</f>
        <v>1.53878725123391</v>
      </c>
      <c r="G13" s="31" t="str">
        <f aca="false">IF(F13&gt;=$B$5,"Above","Below")</f>
        <v>Below</v>
      </c>
      <c r="H13" s="13" t="n">
        <f aca="false">IFERROR(B13/D13,0)</f>
        <v>57.2895475113122</v>
      </c>
      <c r="I13" s="31" t="str">
        <f aca="false">IF(H13&lt;=$B$6,"Below","Above")</f>
        <v>Above</v>
      </c>
      <c r="J13" s="13" t="n">
        <f aca="false">C13-(B13+E13*$B$7+C13*$B$8)</f>
        <v>-5295.9585</v>
      </c>
      <c r="K13" s="31" t="str">
        <f aca="false">IF(J13&gt;0,"Positive","Negative")</f>
        <v>Negative</v>
      </c>
    </row>
    <row r="14" customFormat="false" ht="15" hidden="false" customHeight="true" outlineLevel="0" collapsed="false">
      <c r="A14" s="12" t="s">
        <v>32</v>
      </c>
      <c r="B14" s="13" t="n">
        <f aca="false">SUMIFS('Raw Data'!H2:H71,'Raw Data'!C2:C71,A14)</f>
        <v>1836.76</v>
      </c>
      <c r="C14" s="13" t="n">
        <f aca="false">SUMIFS('Raw Data'!I2:I71,'Raw Data'!C2:C71,A14)</f>
        <v>237630.53</v>
      </c>
      <c r="D14" s="14" t="n">
        <f aca="false">SUMIFS('Raw Data'!G2:G71,'Raw Data'!C2:C71,A14)</f>
        <v>2335</v>
      </c>
      <c r="E14" s="14" t="n">
        <f aca="false">SUMIFS('Raw Data'!J2:J71,'Raw Data'!C2:C71,A14)</f>
        <v>2335</v>
      </c>
      <c r="F14" s="15" t="n">
        <f aca="false">IFERROR(C14/B14,0)</f>
        <v>129.374839391102</v>
      </c>
      <c r="G14" s="31" t="str">
        <f aca="false">IF(F14&gt;=$B$5,"Above","Below")</f>
        <v>Above</v>
      </c>
      <c r="H14" s="13" t="n">
        <f aca="false">IFERROR(B14/D14,0)</f>
        <v>0.786620985010707</v>
      </c>
      <c r="I14" s="31" t="str">
        <f aca="false">IF(H14&lt;=$B$6,"Below","Above")</f>
        <v>Below</v>
      </c>
      <c r="J14" s="13" t="n">
        <f aca="false">C14-(B14+E14*$B$7+C14*$B$8)</f>
        <v>133943.0845</v>
      </c>
      <c r="K14" s="31" t="str">
        <f aca="false">IF(J14&gt;0,"Positive","Negative")</f>
        <v>Positive</v>
      </c>
    </row>
  </sheetData>
  <conditionalFormatting sqref="G11:G14">
    <cfRule type="expression" priority="2" aboveAverage="0" equalAverage="0" bottom="0" percent="0" rank="0" text="" dxfId="0">
      <formula>G11="Above"</formula>
    </cfRule>
    <cfRule type="expression" priority="3" aboveAverage="0" equalAverage="0" bottom="0" percent="0" rank="0" text="" dxfId="1">
      <formula>G11="Below"</formula>
    </cfRule>
  </conditionalFormatting>
  <conditionalFormatting sqref="I11:I14">
    <cfRule type="expression" priority="4" aboveAverage="0" equalAverage="0" bottom="0" percent="0" rank="0" text="" dxfId="0">
      <formula>I11="Below"</formula>
    </cfRule>
    <cfRule type="expression" priority="5" aboveAverage="0" equalAverage="0" bottom="0" percent="0" rank="0" text="" dxfId="1">
      <formula>I11="Above"</formula>
    </cfRule>
  </conditionalFormatting>
  <conditionalFormatting sqref="K11:K14">
    <cfRule type="expression" priority="6" aboveAverage="0" equalAverage="0" bottom="0" percent="0" rank="0" text="" dxfId="0">
      <formula>K11="Positive"</formula>
    </cfRule>
    <cfRule type="expression" priority="7" aboveAverage="0" equalAverage="0" bottom="0" percent="0" rank="0" text="" dxfId="1">
      <formula>K11="Negative"</formula>
    </cfRule>
  </conditionalFormatting>
  <conditionalFormatting sqref="F11:F14">
    <cfRule type="cellIs" priority="8" operator="greaterThanOrEqual" aboveAverage="0" equalAverage="0" bottom="0" percent="0" rank="0" text="" dxfId="0">
      <formula>$B$5</formula>
    </cfRule>
    <cfRule type="cellIs" priority="9" operator="lessThan" aboveAverage="0" equalAverage="0" bottom="0" percent="0" rank="0" text="" dxfId="1">
      <formula>$B$5</formula>
    </cfRule>
  </conditionalFormatting>
  <conditionalFormatting sqref="H11:H14">
    <cfRule type="cellIs" priority="10" operator="lessThanOrEqual" aboveAverage="0" equalAverage="0" bottom="0" percent="0" rank="0" text="" dxfId="0">
      <formula>$B$6</formula>
    </cfRule>
    <cfRule type="cellIs" priority="11" operator="greaterThan" aboveAverage="0" equalAverage="0" bottom="0" percent="0" rank="0" text="" dxfId="1">
      <formula>$B$6</formula>
    </cfRule>
  </conditionalFormatting>
  <conditionalFormatting sqref="J11:J14">
    <cfRule type="cellIs" priority="12" operator="greaterThan" aboveAverage="0" equalAverage="0" bottom="0" percent="0" rank="0" text="" dxfId="0">
      <formula>0</formula>
    </cfRule>
    <cfRule type="cellIs" priority="13" operator="less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55555"/>
    <pageSetUpPr fitToPage="false"/>
  </sheetPr>
  <dimension ref="A1:J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9" min="7" style="1" width="12"/>
    <col collapsed="false" customWidth="true" hidden="false" outlineLevel="0" max="10" min="10" style="1" width="10"/>
  </cols>
  <sheetData>
    <row r="1" customFormat="false" ht="15" hidden="false" customHeight="true" outlineLevel="0" collapsed="false">
      <c r="A1" s="32" t="s">
        <v>67</v>
      </c>
      <c r="B1" s="32" t="s">
        <v>68</v>
      </c>
      <c r="C1" s="32" t="s">
        <v>69</v>
      </c>
      <c r="D1" s="32" t="s">
        <v>70</v>
      </c>
      <c r="E1" s="32" t="s">
        <v>71</v>
      </c>
      <c r="F1" s="32" t="s">
        <v>72</v>
      </c>
      <c r="G1" s="32" t="s">
        <v>73</v>
      </c>
      <c r="H1" s="32" t="s">
        <v>74</v>
      </c>
      <c r="I1" s="32" t="s">
        <v>75</v>
      </c>
      <c r="J1" s="32" t="s">
        <v>76</v>
      </c>
    </row>
    <row r="2" customFormat="false" ht="15" hidden="false" customHeight="true" outlineLevel="0" collapsed="false">
      <c r="A2" s="33" t="s">
        <v>77</v>
      </c>
      <c r="B2" s="5" t="s">
        <v>78</v>
      </c>
      <c r="C2" s="5" t="s">
        <v>29</v>
      </c>
      <c r="D2" s="5" t="s">
        <v>79</v>
      </c>
      <c r="E2" s="34" t="n">
        <v>125279</v>
      </c>
      <c r="F2" s="34" t="n">
        <v>3169</v>
      </c>
      <c r="G2" s="34" t="n">
        <v>84</v>
      </c>
      <c r="H2" s="35" t="n">
        <v>2060.43</v>
      </c>
      <c r="I2" s="35" t="n">
        <v>7714.41</v>
      </c>
      <c r="J2" s="34" t="n">
        <v>84</v>
      </c>
    </row>
    <row r="3" customFormat="false" ht="15" hidden="false" customHeight="true" outlineLevel="0" collapsed="false">
      <c r="A3" s="33" t="s">
        <v>77</v>
      </c>
      <c r="B3" s="5" t="s">
        <v>80</v>
      </c>
      <c r="C3" s="5" t="s">
        <v>29</v>
      </c>
      <c r="D3" s="5" t="s">
        <v>81</v>
      </c>
      <c r="E3" s="34" t="n">
        <v>43118</v>
      </c>
      <c r="F3" s="34" t="n">
        <v>1724</v>
      </c>
      <c r="G3" s="34" t="n">
        <v>107</v>
      </c>
      <c r="H3" s="35" t="n">
        <v>1414.17</v>
      </c>
      <c r="I3" s="35" t="n">
        <v>11542.94</v>
      </c>
      <c r="J3" s="34" t="n">
        <v>107</v>
      </c>
    </row>
    <row r="4" customFormat="false" ht="15" hidden="false" customHeight="true" outlineLevel="0" collapsed="false">
      <c r="A4" s="33" t="s">
        <v>77</v>
      </c>
      <c r="B4" s="5" t="s">
        <v>82</v>
      </c>
      <c r="C4" s="5" t="s">
        <v>29</v>
      </c>
      <c r="D4" s="5" t="s">
        <v>79</v>
      </c>
      <c r="E4" s="34" t="n">
        <v>96975</v>
      </c>
      <c r="F4" s="34" t="n">
        <v>2205</v>
      </c>
      <c r="G4" s="34" t="n">
        <v>38</v>
      </c>
      <c r="H4" s="35" t="n">
        <v>1544.07</v>
      </c>
      <c r="I4" s="35" t="n">
        <v>3371.63</v>
      </c>
      <c r="J4" s="34" t="n">
        <v>38</v>
      </c>
    </row>
    <row r="5" customFormat="false" ht="15" hidden="false" customHeight="true" outlineLevel="0" collapsed="false">
      <c r="A5" s="33" t="s">
        <v>77</v>
      </c>
      <c r="B5" s="5" t="s">
        <v>83</v>
      </c>
      <c r="C5" s="5" t="s">
        <v>30</v>
      </c>
      <c r="D5" s="5" t="s">
        <v>79</v>
      </c>
      <c r="E5" s="34" t="n">
        <v>15628</v>
      </c>
      <c r="F5" s="34" t="n">
        <v>775</v>
      </c>
      <c r="G5" s="34" t="n">
        <v>95</v>
      </c>
      <c r="H5" s="35" t="n">
        <v>813.82</v>
      </c>
      <c r="I5" s="35" t="n">
        <v>9750.01</v>
      </c>
      <c r="J5" s="34" t="n">
        <v>95</v>
      </c>
    </row>
    <row r="6" customFormat="false" ht="15" hidden="false" customHeight="true" outlineLevel="0" collapsed="false">
      <c r="A6" s="33" t="s">
        <v>77</v>
      </c>
      <c r="B6" s="5" t="s">
        <v>84</v>
      </c>
      <c r="C6" s="5" t="s">
        <v>30</v>
      </c>
      <c r="D6" s="5" t="s">
        <v>79</v>
      </c>
      <c r="E6" s="34" t="n">
        <v>77393</v>
      </c>
      <c r="F6" s="34" t="n">
        <v>1917</v>
      </c>
      <c r="G6" s="34" t="n">
        <v>57</v>
      </c>
      <c r="H6" s="35" t="n">
        <v>1629.03</v>
      </c>
      <c r="I6" s="35" t="n">
        <v>5306.69</v>
      </c>
      <c r="J6" s="34" t="n">
        <v>57</v>
      </c>
    </row>
    <row r="7" customFormat="false" ht="15" hidden="false" customHeight="true" outlineLevel="0" collapsed="false">
      <c r="A7" s="33" t="s">
        <v>77</v>
      </c>
      <c r="B7" s="5" t="s">
        <v>85</v>
      </c>
      <c r="C7" s="5" t="s">
        <v>30</v>
      </c>
      <c r="D7" s="5" t="s">
        <v>81</v>
      </c>
      <c r="E7" s="34" t="n">
        <v>36298</v>
      </c>
      <c r="F7" s="34" t="n">
        <v>1366</v>
      </c>
      <c r="G7" s="34" t="n">
        <v>71</v>
      </c>
      <c r="H7" s="35" t="n">
        <v>1297.63</v>
      </c>
      <c r="I7" s="35" t="n">
        <v>7856.04</v>
      </c>
      <c r="J7" s="34" t="n">
        <v>71</v>
      </c>
    </row>
    <row r="8" customFormat="false" ht="15" hidden="false" customHeight="true" outlineLevel="0" collapsed="false">
      <c r="A8" s="33" t="s">
        <v>77</v>
      </c>
      <c r="B8" s="5" t="s">
        <v>86</v>
      </c>
      <c r="C8" s="5" t="s">
        <v>31</v>
      </c>
      <c r="D8" s="5" t="s">
        <v>79</v>
      </c>
      <c r="E8" s="34" t="n">
        <v>244182</v>
      </c>
      <c r="F8" s="34" t="n">
        <v>4983</v>
      </c>
      <c r="G8" s="34" t="n">
        <v>47</v>
      </c>
      <c r="H8" s="35" t="n">
        <v>2890.61</v>
      </c>
      <c r="I8" s="35" t="n">
        <v>4057.74</v>
      </c>
      <c r="J8" s="34" t="n">
        <v>47</v>
      </c>
    </row>
    <row r="9" customFormat="false" ht="15" hidden="false" customHeight="true" outlineLevel="0" collapsed="false">
      <c r="A9" s="33" t="s">
        <v>77</v>
      </c>
      <c r="B9" s="5" t="s">
        <v>87</v>
      </c>
      <c r="C9" s="5" t="s">
        <v>31</v>
      </c>
      <c r="D9" s="5" t="s">
        <v>79</v>
      </c>
      <c r="E9" s="34" t="n">
        <v>208784</v>
      </c>
      <c r="F9" s="34" t="n">
        <v>3839</v>
      </c>
      <c r="G9" s="34" t="n">
        <v>45</v>
      </c>
      <c r="H9" s="35" t="n">
        <v>2380.65</v>
      </c>
      <c r="I9" s="35" t="n">
        <v>4104.67</v>
      </c>
      <c r="J9" s="34" t="n">
        <v>45</v>
      </c>
    </row>
    <row r="10" customFormat="false" ht="15" hidden="false" customHeight="true" outlineLevel="0" collapsed="false">
      <c r="A10" s="33" t="s">
        <v>77</v>
      </c>
      <c r="B10" s="5" t="s">
        <v>88</v>
      </c>
      <c r="C10" s="5" t="s">
        <v>32</v>
      </c>
      <c r="D10" s="5" t="s">
        <v>89</v>
      </c>
      <c r="F10" s="34" t="n">
        <v>14001</v>
      </c>
      <c r="G10" s="34" t="n">
        <v>297</v>
      </c>
      <c r="H10" s="35" t="n">
        <v>279.3</v>
      </c>
      <c r="I10" s="35" t="n">
        <v>29050.54</v>
      </c>
      <c r="J10" s="34" t="n">
        <v>297</v>
      </c>
    </row>
    <row r="11" customFormat="false" ht="15" hidden="false" customHeight="true" outlineLevel="0" collapsed="false">
      <c r="A11" s="33" t="s">
        <v>77</v>
      </c>
      <c r="B11" s="5" t="s">
        <v>90</v>
      </c>
      <c r="C11" s="5" t="s">
        <v>32</v>
      </c>
      <c r="D11" s="5" t="s">
        <v>81</v>
      </c>
      <c r="F11" s="34" t="n">
        <v>2462</v>
      </c>
      <c r="G11" s="34" t="n">
        <v>84</v>
      </c>
      <c r="H11" s="35" t="n">
        <v>24.37</v>
      </c>
      <c r="I11" s="35" t="n">
        <v>9633.95</v>
      </c>
      <c r="J11" s="34" t="n">
        <v>84</v>
      </c>
    </row>
    <row r="12" customFormat="false" ht="15" hidden="false" customHeight="true" outlineLevel="0" collapsed="false">
      <c r="A12" s="33" t="s">
        <v>91</v>
      </c>
      <c r="B12" s="5" t="s">
        <v>78</v>
      </c>
      <c r="C12" s="5" t="s">
        <v>29</v>
      </c>
      <c r="D12" s="5" t="s">
        <v>79</v>
      </c>
      <c r="E12" s="34" t="n">
        <v>130163</v>
      </c>
      <c r="F12" s="34" t="n">
        <v>3293</v>
      </c>
      <c r="G12" s="34" t="n">
        <v>87</v>
      </c>
      <c r="H12" s="35" t="n">
        <v>2140.76</v>
      </c>
      <c r="I12" s="35" t="n">
        <v>8015.15</v>
      </c>
      <c r="J12" s="34" t="n">
        <v>87</v>
      </c>
    </row>
    <row r="13" customFormat="false" ht="15" hidden="false" customHeight="true" outlineLevel="0" collapsed="false">
      <c r="A13" s="33" t="s">
        <v>91</v>
      </c>
      <c r="B13" s="5" t="s">
        <v>80</v>
      </c>
      <c r="C13" s="5" t="s">
        <v>29</v>
      </c>
      <c r="D13" s="5" t="s">
        <v>81</v>
      </c>
      <c r="E13" s="34" t="n">
        <v>39463</v>
      </c>
      <c r="F13" s="34" t="n">
        <v>1578</v>
      </c>
      <c r="G13" s="34" t="n">
        <v>98</v>
      </c>
      <c r="H13" s="35" t="n">
        <v>1294.29</v>
      </c>
      <c r="I13" s="35" t="n">
        <v>10564.44</v>
      </c>
      <c r="J13" s="34" t="n">
        <v>98</v>
      </c>
    </row>
    <row r="14" customFormat="false" ht="15" hidden="false" customHeight="true" outlineLevel="0" collapsed="false">
      <c r="A14" s="33" t="s">
        <v>91</v>
      </c>
      <c r="B14" s="5" t="s">
        <v>82</v>
      </c>
      <c r="C14" s="5" t="s">
        <v>29</v>
      </c>
      <c r="D14" s="5" t="s">
        <v>79</v>
      </c>
      <c r="E14" s="34" t="n">
        <v>98898</v>
      </c>
      <c r="F14" s="34" t="n">
        <v>2248</v>
      </c>
      <c r="G14" s="34" t="n">
        <v>39</v>
      </c>
      <c r="H14" s="35" t="n">
        <v>1574.69</v>
      </c>
      <c r="I14" s="35" t="n">
        <v>3438.51</v>
      </c>
      <c r="J14" s="34" t="n">
        <v>39</v>
      </c>
    </row>
    <row r="15" customFormat="false" ht="15" hidden="false" customHeight="true" outlineLevel="0" collapsed="false">
      <c r="A15" s="33" t="s">
        <v>91</v>
      </c>
      <c r="B15" s="5" t="s">
        <v>83</v>
      </c>
      <c r="C15" s="5" t="s">
        <v>30</v>
      </c>
      <c r="D15" s="5" t="s">
        <v>79</v>
      </c>
      <c r="E15" s="34" t="n">
        <v>17410</v>
      </c>
      <c r="F15" s="34" t="n">
        <v>863</v>
      </c>
      <c r="G15" s="34" t="n">
        <v>106</v>
      </c>
      <c r="H15" s="35" t="n">
        <v>906.65</v>
      </c>
      <c r="I15" s="35" t="n">
        <v>10862.09</v>
      </c>
      <c r="J15" s="34" t="n">
        <v>106</v>
      </c>
    </row>
    <row r="16" customFormat="false" ht="15" hidden="false" customHeight="true" outlineLevel="0" collapsed="false">
      <c r="A16" s="33" t="s">
        <v>91</v>
      </c>
      <c r="B16" s="5" t="s">
        <v>84</v>
      </c>
      <c r="C16" s="5" t="s">
        <v>30</v>
      </c>
      <c r="D16" s="5" t="s">
        <v>79</v>
      </c>
      <c r="E16" s="34" t="n">
        <v>93584</v>
      </c>
      <c r="F16" s="34" t="n">
        <v>2318</v>
      </c>
      <c r="G16" s="34" t="n">
        <v>69</v>
      </c>
      <c r="H16" s="35" t="n">
        <v>1969.82</v>
      </c>
      <c r="I16" s="35" t="n">
        <v>6416.83</v>
      </c>
      <c r="J16" s="34" t="n">
        <v>69</v>
      </c>
    </row>
    <row r="17" customFormat="false" ht="15" hidden="false" customHeight="true" outlineLevel="0" collapsed="false">
      <c r="A17" s="33" t="s">
        <v>91</v>
      </c>
      <c r="B17" s="5" t="s">
        <v>85</v>
      </c>
      <c r="C17" s="5" t="s">
        <v>30</v>
      </c>
      <c r="D17" s="5" t="s">
        <v>81</v>
      </c>
      <c r="E17" s="34" t="n">
        <v>39271</v>
      </c>
      <c r="F17" s="34" t="n">
        <v>1478</v>
      </c>
      <c r="G17" s="34" t="n">
        <v>76</v>
      </c>
      <c r="H17" s="35" t="n">
        <v>1403.91</v>
      </c>
      <c r="I17" s="35" t="n">
        <v>8499.46</v>
      </c>
      <c r="J17" s="34" t="n">
        <v>76</v>
      </c>
    </row>
    <row r="18" customFormat="false" ht="15" hidden="false" customHeight="true" outlineLevel="0" collapsed="false">
      <c r="A18" s="33" t="s">
        <v>91</v>
      </c>
      <c r="B18" s="5" t="s">
        <v>86</v>
      </c>
      <c r="C18" s="5" t="s">
        <v>31</v>
      </c>
      <c r="D18" s="5" t="s">
        <v>79</v>
      </c>
      <c r="E18" s="34" t="n">
        <v>290292</v>
      </c>
      <c r="F18" s="34" t="n">
        <v>5924</v>
      </c>
      <c r="G18" s="34" t="n">
        <v>56</v>
      </c>
      <c r="H18" s="35" t="n">
        <v>3436.45</v>
      </c>
      <c r="I18" s="35" t="n">
        <v>4823.97</v>
      </c>
      <c r="J18" s="34" t="n">
        <v>56</v>
      </c>
    </row>
    <row r="19" customFormat="false" ht="15" hidden="false" customHeight="true" outlineLevel="0" collapsed="false">
      <c r="A19" s="33" t="s">
        <v>91</v>
      </c>
      <c r="B19" s="5" t="s">
        <v>87</v>
      </c>
      <c r="C19" s="5" t="s">
        <v>31</v>
      </c>
      <c r="D19" s="5" t="s">
        <v>79</v>
      </c>
      <c r="E19" s="34" t="n">
        <v>218783</v>
      </c>
      <c r="F19" s="34" t="n">
        <v>4023</v>
      </c>
      <c r="G19" s="34" t="n">
        <v>47</v>
      </c>
      <c r="H19" s="35" t="n">
        <v>2494.66</v>
      </c>
      <c r="I19" s="35" t="n">
        <v>4301.25</v>
      </c>
      <c r="J19" s="34" t="n">
        <v>47</v>
      </c>
    </row>
    <row r="20" customFormat="false" ht="15" hidden="false" customHeight="true" outlineLevel="0" collapsed="false">
      <c r="A20" s="33" t="s">
        <v>91</v>
      </c>
      <c r="B20" s="5" t="s">
        <v>88</v>
      </c>
      <c r="C20" s="5" t="s">
        <v>32</v>
      </c>
      <c r="D20" s="5" t="s">
        <v>89</v>
      </c>
      <c r="F20" s="34" t="n">
        <v>11265</v>
      </c>
      <c r="G20" s="34" t="n">
        <v>239</v>
      </c>
      <c r="H20" s="35" t="n">
        <v>224.73</v>
      </c>
      <c r="I20" s="35" t="n">
        <v>23374.21</v>
      </c>
      <c r="J20" s="34" t="n">
        <v>239</v>
      </c>
    </row>
    <row r="21" customFormat="false" ht="15" hidden="false" customHeight="true" outlineLevel="0" collapsed="false">
      <c r="A21" s="33" t="s">
        <v>91</v>
      </c>
      <c r="B21" s="5" t="s">
        <v>90</v>
      </c>
      <c r="C21" s="5" t="s">
        <v>32</v>
      </c>
      <c r="D21" s="5" t="s">
        <v>81</v>
      </c>
      <c r="F21" s="34" t="n">
        <v>2466</v>
      </c>
      <c r="G21" s="34" t="n">
        <v>84</v>
      </c>
      <c r="H21" s="35" t="n">
        <v>24.41</v>
      </c>
      <c r="I21" s="35" t="n">
        <v>9647.44</v>
      </c>
      <c r="J21" s="34" t="n">
        <v>84</v>
      </c>
    </row>
    <row r="22" customFormat="false" ht="15" hidden="false" customHeight="true" outlineLevel="0" collapsed="false">
      <c r="A22" s="33" t="s">
        <v>92</v>
      </c>
      <c r="B22" s="5" t="s">
        <v>78</v>
      </c>
      <c r="C22" s="5" t="s">
        <v>29</v>
      </c>
      <c r="D22" s="5" t="s">
        <v>79</v>
      </c>
      <c r="E22" s="34" t="n">
        <v>141306</v>
      </c>
      <c r="F22" s="34" t="n">
        <v>3575</v>
      </c>
      <c r="G22" s="34" t="n">
        <v>94</v>
      </c>
      <c r="H22" s="35" t="n">
        <v>2324.03</v>
      </c>
      <c r="I22" s="35" t="n">
        <v>8701.33</v>
      </c>
      <c r="J22" s="34" t="n">
        <v>94</v>
      </c>
    </row>
    <row r="23" customFormat="false" ht="15" hidden="false" customHeight="true" outlineLevel="0" collapsed="false">
      <c r="A23" s="33" t="s">
        <v>92</v>
      </c>
      <c r="B23" s="5" t="s">
        <v>80</v>
      </c>
      <c r="C23" s="5" t="s">
        <v>29</v>
      </c>
      <c r="D23" s="5" t="s">
        <v>81</v>
      </c>
      <c r="E23" s="34" t="n">
        <v>43932</v>
      </c>
      <c r="F23" s="34" t="n">
        <v>1756</v>
      </c>
      <c r="G23" s="34" t="n">
        <v>109</v>
      </c>
      <c r="H23" s="35" t="n">
        <v>1440.86</v>
      </c>
      <c r="I23" s="35" t="n">
        <v>11760.85</v>
      </c>
      <c r="J23" s="34" t="n">
        <v>109</v>
      </c>
    </row>
    <row r="24" customFormat="false" ht="15" hidden="false" customHeight="true" outlineLevel="0" collapsed="false">
      <c r="A24" s="33" t="s">
        <v>92</v>
      </c>
      <c r="B24" s="5" t="s">
        <v>82</v>
      </c>
      <c r="C24" s="5" t="s">
        <v>29</v>
      </c>
      <c r="D24" s="5" t="s">
        <v>79</v>
      </c>
      <c r="E24" s="34" t="n">
        <v>86612</v>
      </c>
      <c r="F24" s="34" t="n">
        <v>1969</v>
      </c>
      <c r="G24" s="34" t="n">
        <v>34</v>
      </c>
      <c r="H24" s="35" t="n">
        <v>1379.06</v>
      </c>
      <c r="I24" s="35" t="n">
        <v>3011.33</v>
      </c>
      <c r="J24" s="34" t="n">
        <v>34</v>
      </c>
    </row>
    <row r="25" customFormat="false" ht="15" hidden="false" customHeight="true" outlineLevel="0" collapsed="false">
      <c r="A25" s="33" t="s">
        <v>92</v>
      </c>
      <c r="B25" s="5" t="s">
        <v>83</v>
      </c>
      <c r="C25" s="5" t="s">
        <v>30</v>
      </c>
      <c r="D25" s="5" t="s">
        <v>79</v>
      </c>
      <c r="E25" s="34" t="n">
        <v>14422</v>
      </c>
      <c r="F25" s="34" t="n">
        <v>715</v>
      </c>
      <c r="G25" s="34" t="n">
        <v>87</v>
      </c>
      <c r="H25" s="35" t="n">
        <v>751.06</v>
      </c>
      <c r="I25" s="35" t="n">
        <v>8998.08</v>
      </c>
      <c r="J25" s="34" t="n">
        <v>87</v>
      </c>
    </row>
    <row r="26" customFormat="false" ht="15" hidden="false" customHeight="true" outlineLevel="0" collapsed="false">
      <c r="A26" s="33" t="s">
        <v>92</v>
      </c>
      <c r="B26" s="5" t="s">
        <v>84</v>
      </c>
      <c r="C26" s="5" t="s">
        <v>30</v>
      </c>
      <c r="D26" s="5" t="s">
        <v>79</v>
      </c>
      <c r="E26" s="34" t="n">
        <v>80728</v>
      </c>
      <c r="F26" s="34" t="n">
        <v>1999</v>
      </c>
      <c r="G26" s="34" t="n">
        <v>59</v>
      </c>
      <c r="H26" s="35" t="n">
        <v>1699.22</v>
      </c>
      <c r="I26" s="35" t="n">
        <v>5535.35</v>
      </c>
      <c r="J26" s="34" t="n">
        <v>59</v>
      </c>
    </row>
    <row r="27" customFormat="false" ht="15" hidden="false" customHeight="true" outlineLevel="0" collapsed="false">
      <c r="A27" s="33" t="s">
        <v>92</v>
      </c>
      <c r="B27" s="5" t="s">
        <v>85</v>
      </c>
      <c r="C27" s="5" t="s">
        <v>30</v>
      </c>
      <c r="D27" s="5" t="s">
        <v>81</v>
      </c>
      <c r="E27" s="34" t="n">
        <v>41764</v>
      </c>
      <c r="F27" s="34" t="n">
        <v>1571</v>
      </c>
      <c r="G27" s="34" t="n">
        <v>81</v>
      </c>
      <c r="H27" s="35" t="n">
        <v>1493.05</v>
      </c>
      <c r="I27" s="35" t="n">
        <v>9039.09</v>
      </c>
      <c r="J27" s="34" t="n">
        <v>81</v>
      </c>
    </row>
    <row r="28" customFormat="false" ht="15" hidden="false" customHeight="true" outlineLevel="0" collapsed="false">
      <c r="A28" s="33" t="s">
        <v>92</v>
      </c>
      <c r="B28" s="5" t="s">
        <v>86</v>
      </c>
      <c r="C28" s="5" t="s">
        <v>31</v>
      </c>
      <c r="D28" s="5" t="s">
        <v>79</v>
      </c>
      <c r="E28" s="34" t="n">
        <v>288988</v>
      </c>
      <c r="F28" s="34" t="n">
        <v>5898</v>
      </c>
      <c r="G28" s="34" t="n">
        <v>56</v>
      </c>
      <c r="H28" s="35" t="n">
        <v>3421.01</v>
      </c>
      <c r="I28" s="35" t="n">
        <v>4802.29</v>
      </c>
      <c r="J28" s="34" t="n">
        <v>56</v>
      </c>
    </row>
    <row r="29" customFormat="false" ht="15" hidden="false" customHeight="true" outlineLevel="0" collapsed="false">
      <c r="A29" s="33" t="s">
        <v>92</v>
      </c>
      <c r="B29" s="5" t="s">
        <v>87</v>
      </c>
      <c r="C29" s="5" t="s">
        <v>31</v>
      </c>
      <c r="D29" s="5" t="s">
        <v>79</v>
      </c>
      <c r="E29" s="34" t="n">
        <v>179785</v>
      </c>
      <c r="F29" s="34" t="n">
        <v>3306</v>
      </c>
      <c r="G29" s="34" t="n">
        <v>39</v>
      </c>
      <c r="H29" s="35" t="n">
        <v>2049.99</v>
      </c>
      <c r="I29" s="35" t="n">
        <v>3534.55</v>
      </c>
      <c r="J29" s="34" t="n">
        <v>39</v>
      </c>
    </row>
    <row r="30" customFormat="false" ht="15" hidden="false" customHeight="true" outlineLevel="0" collapsed="false">
      <c r="A30" s="33" t="s">
        <v>92</v>
      </c>
      <c r="B30" s="5" t="s">
        <v>88</v>
      </c>
      <c r="C30" s="5" t="s">
        <v>32</v>
      </c>
      <c r="D30" s="5" t="s">
        <v>89</v>
      </c>
      <c r="F30" s="34" t="n">
        <v>11140</v>
      </c>
      <c r="G30" s="34" t="n">
        <v>237</v>
      </c>
      <c r="H30" s="35" t="n">
        <v>222.24</v>
      </c>
      <c r="I30" s="35" t="n">
        <v>23115.38</v>
      </c>
      <c r="J30" s="34" t="n">
        <v>237</v>
      </c>
    </row>
    <row r="31" customFormat="false" ht="15" hidden="false" customHeight="true" outlineLevel="0" collapsed="false">
      <c r="A31" s="33" t="s">
        <v>92</v>
      </c>
      <c r="B31" s="5" t="s">
        <v>90</v>
      </c>
      <c r="C31" s="5" t="s">
        <v>32</v>
      </c>
      <c r="D31" s="5" t="s">
        <v>81</v>
      </c>
      <c r="F31" s="34" t="n">
        <v>2121</v>
      </c>
      <c r="G31" s="34" t="n">
        <v>72</v>
      </c>
      <c r="H31" s="35" t="n">
        <v>21</v>
      </c>
      <c r="I31" s="35" t="n">
        <v>8298.95</v>
      </c>
      <c r="J31" s="34" t="n">
        <v>72</v>
      </c>
    </row>
    <row r="32" customFormat="false" ht="15" hidden="false" customHeight="true" outlineLevel="0" collapsed="false">
      <c r="A32" s="33" t="s">
        <v>93</v>
      </c>
      <c r="B32" s="5" t="s">
        <v>78</v>
      </c>
      <c r="C32" s="5" t="s">
        <v>29</v>
      </c>
      <c r="D32" s="5" t="s">
        <v>79</v>
      </c>
      <c r="E32" s="34" t="n">
        <v>138154</v>
      </c>
      <c r="F32" s="34" t="n">
        <v>3495</v>
      </c>
      <c r="G32" s="34" t="n">
        <v>92</v>
      </c>
      <c r="H32" s="35" t="n">
        <v>2272.19</v>
      </c>
      <c r="I32" s="35" t="n">
        <v>8507.24</v>
      </c>
      <c r="J32" s="34" t="n">
        <v>92</v>
      </c>
    </row>
    <row r="33" customFormat="false" ht="15" hidden="false" customHeight="true" outlineLevel="0" collapsed="false">
      <c r="A33" s="33" t="s">
        <v>93</v>
      </c>
      <c r="B33" s="5" t="s">
        <v>80</v>
      </c>
      <c r="C33" s="5" t="s">
        <v>29</v>
      </c>
      <c r="D33" s="5" t="s">
        <v>81</v>
      </c>
      <c r="E33" s="34" t="n">
        <v>46835</v>
      </c>
      <c r="F33" s="34" t="n">
        <v>1873</v>
      </c>
      <c r="G33" s="34" t="n">
        <v>117</v>
      </c>
      <c r="H33" s="35" t="n">
        <v>1536.08</v>
      </c>
      <c r="I33" s="35" t="n">
        <v>12538.07</v>
      </c>
      <c r="J33" s="34" t="n">
        <v>117</v>
      </c>
    </row>
    <row r="34" customFormat="false" ht="15" hidden="false" customHeight="true" outlineLevel="0" collapsed="false">
      <c r="A34" s="33" t="s">
        <v>93</v>
      </c>
      <c r="B34" s="5" t="s">
        <v>82</v>
      </c>
      <c r="C34" s="5" t="s">
        <v>29</v>
      </c>
      <c r="D34" s="5" t="s">
        <v>79</v>
      </c>
      <c r="E34" s="34" t="n">
        <v>95435</v>
      </c>
      <c r="F34" s="34" t="n">
        <v>2170</v>
      </c>
      <c r="G34" s="34" t="n">
        <v>37</v>
      </c>
      <c r="H34" s="35" t="n">
        <v>1519.55</v>
      </c>
      <c r="I34" s="35" t="n">
        <v>3318.1</v>
      </c>
      <c r="J34" s="34" t="n">
        <v>37</v>
      </c>
    </row>
    <row r="35" customFormat="false" ht="15" hidden="false" customHeight="true" outlineLevel="0" collapsed="false">
      <c r="A35" s="33" t="s">
        <v>93</v>
      </c>
      <c r="B35" s="5" t="s">
        <v>83</v>
      </c>
      <c r="C35" s="5" t="s">
        <v>30</v>
      </c>
      <c r="D35" s="5" t="s">
        <v>79</v>
      </c>
      <c r="E35" s="34" t="n">
        <v>15136</v>
      </c>
      <c r="F35" s="34" t="n">
        <v>750</v>
      </c>
      <c r="G35" s="34" t="n">
        <v>92</v>
      </c>
      <c r="H35" s="35" t="n">
        <v>788.21</v>
      </c>
      <c r="I35" s="35" t="n">
        <v>9443.2</v>
      </c>
      <c r="J35" s="34" t="n">
        <v>92</v>
      </c>
    </row>
    <row r="36" customFormat="false" ht="15" hidden="false" customHeight="true" outlineLevel="0" collapsed="false">
      <c r="A36" s="33" t="s">
        <v>93</v>
      </c>
      <c r="B36" s="5" t="s">
        <v>84</v>
      </c>
      <c r="C36" s="5" t="s">
        <v>30</v>
      </c>
      <c r="D36" s="5" t="s">
        <v>79</v>
      </c>
      <c r="E36" s="34" t="n">
        <v>79650</v>
      </c>
      <c r="F36" s="34" t="n">
        <v>1973</v>
      </c>
      <c r="G36" s="34" t="n">
        <v>58</v>
      </c>
      <c r="H36" s="35" t="n">
        <v>1676.54</v>
      </c>
      <c r="I36" s="35" t="n">
        <v>5461.45</v>
      </c>
      <c r="J36" s="34" t="n">
        <v>58</v>
      </c>
    </row>
    <row r="37" customFormat="false" ht="15" hidden="false" customHeight="true" outlineLevel="0" collapsed="false">
      <c r="A37" s="33" t="s">
        <v>93</v>
      </c>
      <c r="B37" s="5" t="s">
        <v>85</v>
      </c>
      <c r="C37" s="5" t="s">
        <v>30</v>
      </c>
      <c r="D37" s="5" t="s">
        <v>81</v>
      </c>
      <c r="E37" s="34" t="n">
        <v>37349</v>
      </c>
      <c r="F37" s="34" t="n">
        <v>1405</v>
      </c>
      <c r="G37" s="34" t="n">
        <v>73</v>
      </c>
      <c r="H37" s="35" t="n">
        <v>1335.19</v>
      </c>
      <c r="I37" s="35" t="n">
        <v>8083.42</v>
      </c>
      <c r="J37" s="34" t="n">
        <v>73</v>
      </c>
    </row>
    <row r="38" customFormat="false" ht="15" hidden="false" customHeight="true" outlineLevel="0" collapsed="false">
      <c r="A38" s="33" t="s">
        <v>93</v>
      </c>
      <c r="B38" s="5" t="s">
        <v>86</v>
      </c>
      <c r="C38" s="5" t="s">
        <v>31</v>
      </c>
      <c r="D38" s="5" t="s">
        <v>79</v>
      </c>
      <c r="E38" s="34" t="n">
        <v>242963</v>
      </c>
      <c r="F38" s="34" t="n">
        <v>4958</v>
      </c>
      <c r="G38" s="34" t="n">
        <v>47</v>
      </c>
      <c r="H38" s="35" t="n">
        <v>2876.18</v>
      </c>
      <c r="I38" s="35" t="n">
        <v>4037.48</v>
      </c>
      <c r="J38" s="34" t="n">
        <v>47</v>
      </c>
    </row>
    <row r="39" customFormat="false" ht="15" hidden="false" customHeight="true" outlineLevel="0" collapsed="false">
      <c r="A39" s="33" t="s">
        <v>93</v>
      </c>
      <c r="B39" s="5" t="s">
        <v>87</v>
      </c>
      <c r="C39" s="5" t="s">
        <v>31</v>
      </c>
      <c r="D39" s="5" t="s">
        <v>79</v>
      </c>
      <c r="E39" s="34" t="n">
        <v>220333</v>
      </c>
      <c r="F39" s="34" t="n">
        <v>4051</v>
      </c>
      <c r="G39" s="34" t="n">
        <v>48</v>
      </c>
      <c r="H39" s="35" t="n">
        <v>2512.33</v>
      </c>
      <c r="I39" s="35" t="n">
        <v>4331.72</v>
      </c>
      <c r="J39" s="34" t="n">
        <v>48</v>
      </c>
    </row>
    <row r="40" customFormat="false" ht="15" hidden="false" customHeight="true" outlineLevel="0" collapsed="false">
      <c r="A40" s="33" t="s">
        <v>93</v>
      </c>
      <c r="B40" s="5" t="s">
        <v>88</v>
      </c>
      <c r="C40" s="5" t="s">
        <v>32</v>
      </c>
      <c r="D40" s="5" t="s">
        <v>89</v>
      </c>
      <c r="F40" s="34" t="n">
        <v>11610</v>
      </c>
      <c r="G40" s="34" t="n">
        <v>247</v>
      </c>
      <c r="H40" s="35" t="n">
        <v>231.6</v>
      </c>
      <c r="I40" s="35" t="n">
        <v>24089.32</v>
      </c>
      <c r="J40" s="34" t="n">
        <v>247</v>
      </c>
    </row>
    <row r="41" customFormat="false" ht="15" hidden="false" customHeight="true" outlineLevel="0" collapsed="false">
      <c r="A41" s="33" t="s">
        <v>93</v>
      </c>
      <c r="B41" s="5" t="s">
        <v>90</v>
      </c>
      <c r="C41" s="5" t="s">
        <v>32</v>
      </c>
      <c r="D41" s="5" t="s">
        <v>81</v>
      </c>
      <c r="F41" s="34" t="n">
        <v>2519</v>
      </c>
      <c r="G41" s="34" t="n">
        <v>86</v>
      </c>
      <c r="H41" s="35" t="n">
        <v>24.93</v>
      </c>
      <c r="I41" s="35" t="n">
        <v>9854.54</v>
      </c>
      <c r="J41" s="34" t="n">
        <v>86</v>
      </c>
    </row>
    <row r="42" customFormat="false" ht="15" hidden="false" customHeight="true" outlineLevel="0" collapsed="false">
      <c r="A42" s="33" t="s">
        <v>94</v>
      </c>
      <c r="B42" s="5" t="s">
        <v>78</v>
      </c>
      <c r="C42" s="5" t="s">
        <v>29</v>
      </c>
      <c r="D42" s="5" t="s">
        <v>79</v>
      </c>
      <c r="E42" s="34" t="n">
        <v>135879</v>
      </c>
      <c r="F42" s="34" t="n">
        <v>3437</v>
      </c>
      <c r="G42" s="34" t="n">
        <v>91</v>
      </c>
      <c r="H42" s="35" t="n">
        <v>2234.76</v>
      </c>
      <c r="I42" s="35" t="n">
        <v>8367.13</v>
      </c>
      <c r="J42" s="34" t="n">
        <v>91</v>
      </c>
    </row>
    <row r="43" customFormat="false" ht="15" hidden="false" customHeight="true" outlineLevel="0" collapsed="false">
      <c r="A43" s="33" t="s">
        <v>94</v>
      </c>
      <c r="B43" s="5" t="s">
        <v>80</v>
      </c>
      <c r="C43" s="5" t="s">
        <v>29</v>
      </c>
      <c r="D43" s="5" t="s">
        <v>81</v>
      </c>
      <c r="E43" s="34" t="n">
        <v>47489</v>
      </c>
      <c r="F43" s="34" t="n">
        <v>1899</v>
      </c>
      <c r="G43" s="34" t="n">
        <v>118</v>
      </c>
      <c r="H43" s="35" t="n">
        <v>1557.52</v>
      </c>
      <c r="I43" s="35" t="n">
        <v>12713.06</v>
      </c>
      <c r="J43" s="34" t="n">
        <v>118</v>
      </c>
    </row>
    <row r="44" customFormat="false" ht="15" hidden="false" customHeight="true" outlineLevel="0" collapsed="false">
      <c r="A44" s="33" t="s">
        <v>94</v>
      </c>
      <c r="B44" s="5" t="s">
        <v>82</v>
      </c>
      <c r="C44" s="5" t="s">
        <v>29</v>
      </c>
      <c r="D44" s="5" t="s">
        <v>79</v>
      </c>
      <c r="E44" s="34" t="n">
        <v>107190</v>
      </c>
      <c r="F44" s="34" t="n">
        <v>2437</v>
      </c>
      <c r="G44" s="34" t="n">
        <v>42</v>
      </c>
      <c r="H44" s="35" t="n">
        <v>1706.72</v>
      </c>
      <c r="I44" s="35" t="n">
        <v>3726.8</v>
      </c>
      <c r="J44" s="34" t="n">
        <v>42</v>
      </c>
    </row>
    <row r="45" customFormat="false" ht="15" hidden="false" customHeight="true" outlineLevel="0" collapsed="false">
      <c r="A45" s="33" t="s">
        <v>94</v>
      </c>
      <c r="B45" s="5" t="s">
        <v>83</v>
      </c>
      <c r="C45" s="5" t="s">
        <v>30</v>
      </c>
      <c r="D45" s="5" t="s">
        <v>79</v>
      </c>
      <c r="E45" s="34" t="n">
        <v>14369</v>
      </c>
      <c r="F45" s="34" t="n">
        <v>712</v>
      </c>
      <c r="G45" s="34" t="n">
        <v>87</v>
      </c>
      <c r="H45" s="35" t="n">
        <v>748.26</v>
      </c>
      <c r="I45" s="35" t="n">
        <v>8964.53</v>
      </c>
      <c r="J45" s="34" t="n">
        <v>87</v>
      </c>
    </row>
    <row r="46" customFormat="false" ht="15" hidden="false" customHeight="true" outlineLevel="0" collapsed="false">
      <c r="A46" s="33" t="s">
        <v>94</v>
      </c>
      <c r="B46" s="5" t="s">
        <v>84</v>
      </c>
      <c r="C46" s="5" t="s">
        <v>30</v>
      </c>
      <c r="D46" s="5" t="s">
        <v>79</v>
      </c>
      <c r="E46" s="34" t="n">
        <v>80218</v>
      </c>
      <c r="F46" s="34" t="n">
        <v>1987</v>
      </c>
      <c r="G46" s="34" t="n">
        <v>59</v>
      </c>
      <c r="H46" s="35" t="n">
        <v>1688.49</v>
      </c>
      <c r="I46" s="35" t="n">
        <v>5500.4</v>
      </c>
      <c r="J46" s="34" t="n">
        <v>59</v>
      </c>
    </row>
    <row r="47" customFormat="false" ht="15" hidden="false" customHeight="true" outlineLevel="0" collapsed="false">
      <c r="A47" s="33" t="s">
        <v>94</v>
      </c>
      <c r="B47" s="5" t="s">
        <v>85</v>
      </c>
      <c r="C47" s="5" t="s">
        <v>30</v>
      </c>
      <c r="D47" s="5" t="s">
        <v>81</v>
      </c>
      <c r="E47" s="34" t="n">
        <v>45113</v>
      </c>
      <c r="F47" s="34" t="n">
        <v>1697</v>
      </c>
      <c r="G47" s="34" t="n">
        <v>88</v>
      </c>
      <c r="H47" s="35" t="n">
        <v>1612.75</v>
      </c>
      <c r="I47" s="35" t="n">
        <v>9763.79</v>
      </c>
      <c r="J47" s="34" t="n">
        <v>88</v>
      </c>
    </row>
    <row r="48" customFormat="false" ht="15" hidden="false" customHeight="true" outlineLevel="0" collapsed="false">
      <c r="A48" s="33" t="s">
        <v>94</v>
      </c>
      <c r="B48" s="5" t="s">
        <v>86</v>
      </c>
      <c r="C48" s="5" t="s">
        <v>31</v>
      </c>
      <c r="D48" s="5" t="s">
        <v>79</v>
      </c>
      <c r="E48" s="34" t="n">
        <v>246206</v>
      </c>
      <c r="F48" s="34" t="n">
        <v>5025</v>
      </c>
      <c r="G48" s="34" t="n">
        <v>48</v>
      </c>
      <c r="H48" s="35" t="n">
        <v>2914.57</v>
      </c>
      <c r="I48" s="35" t="n">
        <v>4091.37</v>
      </c>
      <c r="J48" s="34" t="n">
        <v>48</v>
      </c>
    </row>
    <row r="49" customFormat="false" ht="15" hidden="false" customHeight="true" outlineLevel="0" collapsed="false">
      <c r="A49" s="33" t="s">
        <v>94</v>
      </c>
      <c r="B49" s="5" t="s">
        <v>87</v>
      </c>
      <c r="C49" s="5" t="s">
        <v>31</v>
      </c>
      <c r="D49" s="5" t="s">
        <v>79</v>
      </c>
      <c r="E49" s="34" t="n">
        <v>196720</v>
      </c>
      <c r="F49" s="34" t="n">
        <v>3617</v>
      </c>
      <c r="G49" s="34" t="n">
        <v>42</v>
      </c>
      <c r="H49" s="35" t="n">
        <v>2243.09</v>
      </c>
      <c r="I49" s="35" t="n">
        <v>3867.49</v>
      </c>
      <c r="J49" s="34" t="n">
        <v>42</v>
      </c>
    </row>
    <row r="50" customFormat="false" ht="15" hidden="false" customHeight="true" outlineLevel="0" collapsed="false">
      <c r="A50" s="33" t="s">
        <v>94</v>
      </c>
      <c r="B50" s="5" t="s">
        <v>88</v>
      </c>
      <c r="C50" s="5" t="s">
        <v>32</v>
      </c>
      <c r="D50" s="5" t="s">
        <v>89</v>
      </c>
      <c r="F50" s="34" t="n">
        <v>12441</v>
      </c>
      <c r="G50" s="34" t="n">
        <v>264</v>
      </c>
      <c r="H50" s="35" t="n">
        <v>248.19</v>
      </c>
      <c r="I50" s="35" t="n">
        <v>25814.6</v>
      </c>
      <c r="J50" s="34" t="n">
        <v>264</v>
      </c>
    </row>
    <row r="51" customFormat="false" ht="15" hidden="false" customHeight="true" outlineLevel="0" collapsed="false">
      <c r="A51" s="33" t="s">
        <v>94</v>
      </c>
      <c r="B51" s="5" t="s">
        <v>90</v>
      </c>
      <c r="C51" s="5" t="s">
        <v>32</v>
      </c>
      <c r="D51" s="5" t="s">
        <v>81</v>
      </c>
      <c r="F51" s="34" t="n">
        <v>2239</v>
      </c>
      <c r="G51" s="34" t="n">
        <v>76</v>
      </c>
      <c r="H51" s="35" t="n">
        <v>22.16</v>
      </c>
      <c r="I51" s="35" t="n">
        <v>8759.47</v>
      </c>
      <c r="J51" s="34" t="n">
        <v>76</v>
      </c>
    </row>
    <row r="52" customFormat="false" ht="15" hidden="false" customHeight="true" outlineLevel="0" collapsed="false">
      <c r="A52" s="33" t="s">
        <v>95</v>
      </c>
      <c r="B52" s="5" t="s">
        <v>78</v>
      </c>
      <c r="C52" s="5" t="s">
        <v>29</v>
      </c>
      <c r="D52" s="5" t="s">
        <v>79</v>
      </c>
      <c r="E52" s="34" t="n">
        <v>122502</v>
      </c>
      <c r="F52" s="34" t="n">
        <v>3099</v>
      </c>
      <c r="G52" s="34" t="n">
        <v>82</v>
      </c>
      <c r="H52" s="35" t="n">
        <v>2014.76</v>
      </c>
      <c r="I52" s="35" t="n">
        <v>7543.44</v>
      </c>
      <c r="J52" s="34" t="n">
        <v>82</v>
      </c>
    </row>
    <row r="53" customFormat="false" ht="15" hidden="false" customHeight="true" outlineLevel="0" collapsed="false">
      <c r="A53" s="33" t="s">
        <v>95</v>
      </c>
      <c r="B53" s="5" t="s">
        <v>80</v>
      </c>
      <c r="C53" s="5" t="s">
        <v>29</v>
      </c>
      <c r="D53" s="5" t="s">
        <v>81</v>
      </c>
      <c r="E53" s="34" t="n">
        <v>51535</v>
      </c>
      <c r="F53" s="34" t="n">
        <v>2060</v>
      </c>
      <c r="G53" s="34" t="n">
        <v>128</v>
      </c>
      <c r="H53" s="35" t="n">
        <v>1690.24</v>
      </c>
      <c r="I53" s="35" t="n">
        <v>13796.31</v>
      </c>
      <c r="J53" s="34" t="n">
        <v>128</v>
      </c>
    </row>
    <row r="54" customFormat="false" ht="15" hidden="false" customHeight="true" outlineLevel="0" collapsed="false">
      <c r="A54" s="33" t="s">
        <v>95</v>
      </c>
      <c r="B54" s="5" t="s">
        <v>82</v>
      </c>
      <c r="C54" s="5" t="s">
        <v>29</v>
      </c>
      <c r="D54" s="5" t="s">
        <v>79</v>
      </c>
      <c r="E54" s="34" t="n">
        <v>108171</v>
      </c>
      <c r="F54" s="34" t="n">
        <v>2459</v>
      </c>
      <c r="G54" s="34" t="n">
        <v>42</v>
      </c>
      <c r="H54" s="35" t="n">
        <v>1722.33</v>
      </c>
      <c r="I54" s="35" t="n">
        <v>3760.89</v>
      </c>
      <c r="J54" s="34" t="n">
        <v>42</v>
      </c>
    </row>
    <row r="55" customFormat="false" ht="15" hidden="false" customHeight="true" outlineLevel="0" collapsed="false">
      <c r="A55" s="33" t="s">
        <v>95</v>
      </c>
      <c r="B55" s="5" t="s">
        <v>83</v>
      </c>
      <c r="C55" s="5" t="s">
        <v>30</v>
      </c>
      <c r="D55" s="5" t="s">
        <v>79</v>
      </c>
      <c r="E55" s="34" t="n">
        <v>16865</v>
      </c>
      <c r="F55" s="34" t="n">
        <v>836</v>
      </c>
      <c r="G55" s="34" t="n">
        <v>102</v>
      </c>
      <c r="H55" s="35" t="n">
        <v>878.28</v>
      </c>
      <c r="I55" s="35" t="n">
        <v>10522.21</v>
      </c>
      <c r="J55" s="34" t="n">
        <v>102</v>
      </c>
    </row>
    <row r="56" customFormat="false" ht="15" hidden="false" customHeight="true" outlineLevel="0" collapsed="false">
      <c r="A56" s="33" t="s">
        <v>95</v>
      </c>
      <c r="B56" s="5" t="s">
        <v>84</v>
      </c>
      <c r="C56" s="5" t="s">
        <v>30</v>
      </c>
      <c r="D56" s="5" t="s">
        <v>79</v>
      </c>
      <c r="E56" s="34" t="n">
        <v>97118</v>
      </c>
      <c r="F56" s="34" t="n">
        <v>2405</v>
      </c>
      <c r="G56" s="34" t="n">
        <v>71</v>
      </c>
      <c r="H56" s="35" t="n">
        <v>2044.21</v>
      </c>
      <c r="I56" s="35" t="n">
        <v>6659.16</v>
      </c>
      <c r="J56" s="34" t="n">
        <v>71</v>
      </c>
    </row>
    <row r="57" customFormat="false" ht="15" hidden="false" customHeight="true" outlineLevel="0" collapsed="false">
      <c r="A57" s="33" t="s">
        <v>95</v>
      </c>
      <c r="B57" s="5" t="s">
        <v>85</v>
      </c>
      <c r="C57" s="5" t="s">
        <v>30</v>
      </c>
      <c r="D57" s="5" t="s">
        <v>81</v>
      </c>
      <c r="E57" s="34" t="n">
        <v>36580</v>
      </c>
      <c r="F57" s="34" t="n">
        <v>1376</v>
      </c>
      <c r="G57" s="34" t="n">
        <v>71</v>
      </c>
      <c r="H57" s="35" t="n">
        <v>1307.7</v>
      </c>
      <c r="I57" s="35" t="n">
        <v>7916.99</v>
      </c>
      <c r="J57" s="34" t="n">
        <v>71</v>
      </c>
    </row>
    <row r="58" customFormat="false" ht="15" hidden="false" customHeight="true" outlineLevel="0" collapsed="false">
      <c r="A58" s="33" t="s">
        <v>95</v>
      </c>
      <c r="B58" s="5" t="s">
        <v>86</v>
      </c>
      <c r="C58" s="5" t="s">
        <v>31</v>
      </c>
      <c r="D58" s="5" t="s">
        <v>79</v>
      </c>
      <c r="E58" s="34" t="n">
        <v>288459</v>
      </c>
      <c r="F58" s="34" t="n">
        <v>5887</v>
      </c>
      <c r="G58" s="34" t="n">
        <v>56</v>
      </c>
      <c r="H58" s="35" t="n">
        <v>3414.75</v>
      </c>
      <c r="I58" s="35" t="n">
        <v>4793.5</v>
      </c>
      <c r="J58" s="34" t="n">
        <v>56</v>
      </c>
    </row>
    <row r="59" customFormat="false" ht="15" hidden="false" customHeight="true" outlineLevel="0" collapsed="false">
      <c r="A59" s="33" t="s">
        <v>95</v>
      </c>
      <c r="B59" s="5" t="s">
        <v>87</v>
      </c>
      <c r="C59" s="5" t="s">
        <v>31</v>
      </c>
      <c r="D59" s="5" t="s">
        <v>79</v>
      </c>
      <c r="E59" s="34" t="n">
        <v>198824</v>
      </c>
      <c r="F59" s="34" t="n">
        <v>3656</v>
      </c>
      <c r="G59" s="34" t="n">
        <v>43</v>
      </c>
      <c r="H59" s="35" t="n">
        <v>2267.07</v>
      </c>
      <c r="I59" s="35" t="n">
        <v>3908.85</v>
      </c>
      <c r="J59" s="34" t="n">
        <v>43</v>
      </c>
    </row>
    <row r="60" customFormat="false" ht="15" hidden="false" customHeight="true" outlineLevel="0" collapsed="false">
      <c r="A60" s="33" t="s">
        <v>95</v>
      </c>
      <c r="B60" s="5" t="s">
        <v>88</v>
      </c>
      <c r="C60" s="5" t="s">
        <v>32</v>
      </c>
      <c r="D60" s="5" t="s">
        <v>89</v>
      </c>
      <c r="F60" s="34" t="n">
        <v>12218</v>
      </c>
      <c r="G60" s="34" t="n">
        <v>259</v>
      </c>
      <c r="H60" s="35" t="n">
        <v>243.75</v>
      </c>
      <c r="I60" s="35" t="n">
        <v>25352.37</v>
      </c>
      <c r="J60" s="34" t="n">
        <v>259</v>
      </c>
    </row>
    <row r="61" customFormat="false" ht="15" hidden="false" customHeight="true" outlineLevel="0" collapsed="false">
      <c r="A61" s="33" t="s">
        <v>95</v>
      </c>
      <c r="B61" s="5" t="s">
        <v>90</v>
      </c>
      <c r="C61" s="5" t="s">
        <v>32</v>
      </c>
      <c r="D61" s="5" t="s">
        <v>81</v>
      </c>
      <c r="F61" s="34" t="n">
        <v>1997</v>
      </c>
      <c r="G61" s="34" t="n">
        <v>68</v>
      </c>
      <c r="H61" s="35" t="n">
        <v>19.77</v>
      </c>
      <c r="I61" s="35" t="n">
        <v>7814.03</v>
      </c>
      <c r="J61" s="34" t="n">
        <v>68</v>
      </c>
    </row>
    <row r="62" customFormat="false" ht="15" hidden="false" customHeight="true" outlineLevel="0" collapsed="false">
      <c r="A62" s="33" t="s">
        <v>96</v>
      </c>
      <c r="B62" s="5" t="s">
        <v>78</v>
      </c>
      <c r="C62" s="5" t="s">
        <v>29</v>
      </c>
      <c r="D62" s="5" t="s">
        <v>79</v>
      </c>
      <c r="E62" s="34" t="n">
        <v>148254</v>
      </c>
      <c r="F62" s="34" t="n">
        <v>3750</v>
      </c>
      <c r="G62" s="34" t="n">
        <v>99</v>
      </c>
      <c r="H62" s="35" t="n">
        <v>2438.3</v>
      </c>
      <c r="I62" s="35" t="n">
        <v>9129.18</v>
      </c>
      <c r="J62" s="34" t="n">
        <v>99</v>
      </c>
    </row>
    <row r="63" customFormat="false" ht="15" hidden="false" customHeight="true" outlineLevel="0" collapsed="false">
      <c r="A63" s="33" t="s">
        <v>96</v>
      </c>
      <c r="B63" s="5" t="s">
        <v>80</v>
      </c>
      <c r="C63" s="5" t="s">
        <v>29</v>
      </c>
      <c r="D63" s="5" t="s">
        <v>81</v>
      </c>
      <c r="E63" s="34" t="n">
        <v>39875</v>
      </c>
      <c r="F63" s="34" t="n">
        <v>1594</v>
      </c>
      <c r="G63" s="34" t="n">
        <v>99</v>
      </c>
      <c r="H63" s="35" t="n">
        <v>1307.8</v>
      </c>
      <c r="I63" s="35" t="n">
        <v>10674.73</v>
      </c>
      <c r="J63" s="34" t="n">
        <v>99</v>
      </c>
    </row>
    <row r="64" customFormat="false" ht="15" hidden="false" customHeight="true" outlineLevel="0" collapsed="false">
      <c r="A64" s="33" t="s">
        <v>96</v>
      </c>
      <c r="B64" s="5" t="s">
        <v>82</v>
      </c>
      <c r="C64" s="5" t="s">
        <v>29</v>
      </c>
      <c r="D64" s="5" t="s">
        <v>79</v>
      </c>
      <c r="E64" s="34" t="n">
        <v>94547</v>
      </c>
      <c r="F64" s="34" t="n">
        <v>2150</v>
      </c>
      <c r="G64" s="34" t="n">
        <v>37</v>
      </c>
      <c r="H64" s="35" t="n">
        <v>1505.4</v>
      </c>
      <c r="I64" s="35" t="n">
        <v>3287.21</v>
      </c>
      <c r="J64" s="34" t="n">
        <v>37</v>
      </c>
    </row>
    <row r="65" customFormat="false" ht="15" hidden="false" customHeight="true" outlineLevel="0" collapsed="false">
      <c r="A65" s="33" t="s">
        <v>96</v>
      </c>
      <c r="B65" s="5" t="s">
        <v>83</v>
      </c>
      <c r="C65" s="5" t="s">
        <v>30</v>
      </c>
      <c r="D65" s="5" t="s">
        <v>79</v>
      </c>
      <c r="E65" s="34" t="n">
        <v>17314</v>
      </c>
      <c r="F65" s="34" t="n">
        <v>858</v>
      </c>
      <c r="G65" s="34" t="n">
        <v>105</v>
      </c>
      <c r="H65" s="35" t="n">
        <v>901.63</v>
      </c>
      <c r="I65" s="35" t="n">
        <v>10801.97</v>
      </c>
      <c r="J65" s="34" t="n">
        <v>105</v>
      </c>
    </row>
    <row r="66" customFormat="false" ht="15" hidden="false" customHeight="true" outlineLevel="0" collapsed="false">
      <c r="A66" s="33" t="s">
        <v>96</v>
      </c>
      <c r="B66" s="5" t="s">
        <v>84</v>
      </c>
      <c r="C66" s="5" t="s">
        <v>30</v>
      </c>
      <c r="D66" s="5" t="s">
        <v>79</v>
      </c>
      <c r="E66" s="34" t="n">
        <v>77732</v>
      </c>
      <c r="F66" s="34" t="n">
        <v>1925</v>
      </c>
      <c r="G66" s="34" t="n">
        <v>57</v>
      </c>
      <c r="H66" s="35" t="n">
        <v>1636.15</v>
      </c>
      <c r="I66" s="35" t="n">
        <v>5329.89</v>
      </c>
      <c r="J66" s="34" t="n">
        <v>57</v>
      </c>
    </row>
    <row r="67" customFormat="false" ht="15" hidden="false" customHeight="true" outlineLevel="0" collapsed="false">
      <c r="A67" s="33" t="s">
        <v>96</v>
      </c>
      <c r="B67" s="5" t="s">
        <v>85</v>
      </c>
      <c r="C67" s="5" t="s">
        <v>30</v>
      </c>
      <c r="D67" s="5" t="s">
        <v>81</v>
      </c>
      <c r="E67" s="34" t="n">
        <v>44838</v>
      </c>
      <c r="F67" s="34" t="n">
        <v>1687</v>
      </c>
      <c r="G67" s="34" t="n">
        <v>87</v>
      </c>
      <c r="H67" s="35" t="n">
        <v>1602.91</v>
      </c>
      <c r="I67" s="35" t="n">
        <v>9704.22</v>
      </c>
      <c r="J67" s="34" t="n">
        <v>87</v>
      </c>
    </row>
    <row r="68" customFormat="false" ht="15" hidden="false" customHeight="true" outlineLevel="0" collapsed="false">
      <c r="A68" s="33" t="s">
        <v>96</v>
      </c>
      <c r="B68" s="5" t="s">
        <v>86</v>
      </c>
      <c r="C68" s="5" t="s">
        <v>31</v>
      </c>
      <c r="D68" s="5" t="s">
        <v>79</v>
      </c>
      <c r="E68" s="34" t="n">
        <v>255412</v>
      </c>
      <c r="F68" s="34" t="n">
        <v>5212</v>
      </c>
      <c r="G68" s="34" t="n">
        <v>50</v>
      </c>
      <c r="H68" s="35" t="n">
        <v>3023.54</v>
      </c>
      <c r="I68" s="35" t="n">
        <v>4244.34</v>
      </c>
      <c r="J68" s="34" t="n">
        <v>50</v>
      </c>
    </row>
    <row r="69" customFormat="false" ht="15" hidden="false" customHeight="true" outlineLevel="0" collapsed="false">
      <c r="A69" s="33" t="s">
        <v>96</v>
      </c>
      <c r="B69" s="5" t="s">
        <v>87</v>
      </c>
      <c r="C69" s="5" t="s">
        <v>31</v>
      </c>
      <c r="D69" s="5" t="s">
        <v>79</v>
      </c>
      <c r="E69" s="34" t="n">
        <v>180494</v>
      </c>
      <c r="F69" s="34" t="n">
        <v>3319</v>
      </c>
      <c r="G69" s="34" t="n">
        <v>39</v>
      </c>
      <c r="H69" s="35" t="n">
        <v>2058.07</v>
      </c>
      <c r="I69" s="35" t="n">
        <v>3548.49</v>
      </c>
      <c r="J69" s="34" t="n">
        <v>39</v>
      </c>
    </row>
    <row r="70" customFormat="false" ht="15" hidden="false" customHeight="true" outlineLevel="0" collapsed="false">
      <c r="A70" s="33" t="s">
        <v>96</v>
      </c>
      <c r="B70" s="5" t="s">
        <v>88</v>
      </c>
      <c r="C70" s="5" t="s">
        <v>32</v>
      </c>
      <c r="D70" s="5" t="s">
        <v>89</v>
      </c>
      <c r="F70" s="34" t="n">
        <v>11379</v>
      </c>
      <c r="G70" s="34" t="n">
        <v>242</v>
      </c>
      <c r="H70" s="35" t="n">
        <v>227</v>
      </c>
      <c r="I70" s="35" t="n">
        <v>23610.74</v>
      </c>
      <c r="J70" s="34" t="n">
        <v>242</v>
      </c>
    </row>
    <row r="71" customFormat="false" ht="15" hidden="false" customHeight="true" outlineLevel="0" collapsed="false">
      <c r="A71" s="33" t="s">
        <v>96</v>
      </c>
      <c r="B71" s="5" t="s">
        <v>90</v>
      </c>
      <c r="C71" s="5" t="s">
        <v>32</v>
      </c>
      <c r="D71" s="5" t="s">
        <v>81</v>
      </c>
      <c r="F71" s="34" t="n">
        <v>2355</v>
      </c>
      <c r="G71" s="34" t="n">
        <v>80</v>
      </c>
      <c r="H71" s="35" t="n">
        <v>23.31</v>
      </c>
      <c r="I71" s="35" t="n">
        <v>9214.99</v>
      </c>
      <c r="J71" s="34" t="n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2026-08-13T17:40:45Z</dcterms:created>
  <dc:creator>openpyxl</dc:creator>
  <dc:description/>
  <dc:language>en-US</dc:language>
  <cp:lastModifiedBy/>
  <dcterms:modified xsi:type="dcterms:W3CDTF">2026-08-13T17:40:59Z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